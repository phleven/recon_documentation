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Information\BenefitsIQ\Data Model\"/>
    </mc:Choice>
  </mc:AlternateContent>
  <xr:revisionPtr revIDLastSave="0" documentId="8_{69C4063A-DAA3-4BEF-8B79-FF545140E320}" xr6:coauthVersionLast="47" xr6:coauthVersionMax="47" xr10:uidLastSave="{00000000-0000-0000-0000-000000000000}"/>
  <bookViews>
    <workbookView xWindow="0" yWindow="380" windowWidth="19200" windowHeight="10390" firstSheet="2" activeTab="2" xr2:uid="{00000000-000D-0000-FFFF-FFFF00000000}"/>
  </bookViews>
  <sheets>
    <sheet name="Summary" sheetId="1" r:id="rId1"/>
    <sheet name="Person" sheetId="2" r:id="rId2"/>
    <sheet name="Employment" sheetId="3" r:id="rId3"/>
    <sheet name="Relationship" sheetId="4" r:id="rId4"/>
    <sheet name="Review Needed" sheetId="5" r:id="rId5"/>
  </sheets>
  <definedNames>
    <definedName name="_xlnm._FilterDatabase" localSheetId="1" hidden="1">Person!$W$1:$W$1</definedName>
    <definedName name="_xlnm._FilterDatabase" localSheetId="2" hidden="1">Employment!$W$1:$W$1</definedName>
    <definedName name="_xlnm._FilterDatabase" localSheetId="3" hidden="1">Relationship!$W$1:$W$1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 l="1"/>
  <c r="H6" i="1"/>
  <c r="G6" i="1"/>
  <c r="G5" i="1"/>
  <c r="F6" i="1"/>
  <c r="F5" i="1"/>
  <c r="E6" i="1"/>
  <c r="E5" i="1"/>
  <c r="I5" i="1"/>
  <c r="H5" i="1"/>
  <c r="J7" i="1"/>
  <c r="I7" i="1"/>
  <c r="E7" i="1"/>
  <c r="D7" i="1"/>
  <c r="C7" i="1"/>
  <c r="B7" i="1"/>
  <c r="J6" i="1"/>
  <c r="D6" i="1"/>
  <c r="C6" i="1"/>
  <c r="B6" i="1"/>
  <c r="J5" i="1"/>
  <c r="J8" i="1" s="1"/>
  <c r="I8" i="1"/>
  <c r="E8" i="1"/>
  <c r="D5" i="1"/>
  <c r="D8" i="1" s="1"/>
  <c r="C5" i="1"/>
  <c r="C8" i="1" s="1"/>
  <c r="B5" i="1"/>
  <c r="B8" i="1" s="1"/>
</calcChain>
</file>

<file path=xl/sharedStrings.xml><?xml version="1.0" encoding="utf-8"?>
<sst xmlns="http://schemas.openxmlformats.org/spreadsheetml/2006/main" count="14074" uniqueCount="3443">
  <si>
    <t xml:space="preserve">SmartDEV Validation Rules </t>
  </si>
  <si>
    <t>Schema-aligned validation inventory with executable Spark SQL predicates and clearly isolated review exceptions.</t>
  </si>
  <si>
    <t>Domain</t>
  </si>
  <si>
    <t>Domain-tab rules</t>
  </si>
  <si>
    <t>Structural</t>
  </si>
  <si>
    <t>Business</t>
  </si>
  <si>
    <t>SQL ready</t>
  </si>
  <si>
    <t>Custom Logic in Spark</t>
  </si>
  <si>
    <t>Json validation</t>
  </si>
  <si>
    <t>Discarded</t>
  </si>
  <si>
    <t>Needs discussion</t>
  </si>
  <si>
    <t>Moved to Reviewed</t>
  </si>
  <si>
    <t>Review focus</t>
  </si>
  <si>
    <t>Person</t>
  </si>
  <si>
    <t>Review business exceptions and legacy/file-layout rules isolated on Reviewed.</t>
  </si>
  <si>
    <t>Employment</t>
  </si>
  <si>
    <t>Review reference-data, cross-domain, historical, and downstream-state dependencies.</t>
  </si>
  <si>
    <t>Relationship</t>
  </si>
  <si>
    <t>Review parent-person, contact consistency, and legacy employee-demographic rules.</t>
  </si>
  <si>
    <t>Total</t>
  </si>
  <si>
    <t>Review guidance</t>
  </si>
  <si>
    <t>Item</t>
  </si>
  <si>
    <t>Meaning / requested action</t>
  </si>
  <si>
    <t>SQL READY</t>
  </si>
  <si>
    <t>Spark-native boolean expression that returns TRUE when the record satisfies the rule and can be passed to pyspark.sql.functions.expr().</t>
  </si>
  <si>
    <t>NEEDS DISCUSSION</t>
  </si>
  <si>
    <t>A complete predicate cannot be finalized without an approved reference list, external dataset, business key, historical policy, or outcome decision.</t>
  </si>
  <si>
    <t>Reviewed tab</t>
  </si>
  <si>
    <t>Source rules whose target is absent from the approved domain JSON schema, is mixed with non-schema targets, or is not identified.</t>
  </si>
  <si>
    <t>Source precedence</t>
  </si>
  <si>
    <t>Approved Person, Employment, Relationship, and common-definition JSON contracts take precedence for field path, datatype, nullability, format, and structural constraint.</t>
  </si>
  <si>
    <t>Review date</t>
  </si>
  <si>
    <t>Prepared for product review as of 2026-07-29.</t>
  </si>
  <si>
    <t>Source System</t>
  </si>
  <si>
    <t>Validation ID</t>
  </si>
  <si>
    <t>Error Code</t>
  </si>
  <si>
    <t>Column Name</t>
  </si>
  <si>
    <t>Rule Scope</t>
  </si>
  <si>
    <t>Rule Category</t>
  </si>
  <si>
    <t>Rule Type</t>
  </si>
  <si>
    <t>Validation Rule</t>
  </si>
  <si>
    <t>Spark SQL Expression</t>
  </si>
  <si>
    <t>Spark SQL Expressions recommendations</t>
  </si>
  <si>
    <t>SQL Status</t>
  </si>
  <si>
    <t>Review</t>
  </si>
  <si>
    <t>Discussion Reason</t>
  </si>
  <si>
    <t>Data Type</t>
  </si>
  <si>
    <t>Length/Range</t>
  </si>
  <si>
    <t>Allowed Values</t>
  </si>
  <si>
    <t>Severity</t>
  </si>
  <si>
    <t>Implementation Status</t>
  </si>
  <si>
    <t>Product Error Code</t>
  </si>
  <si>
    <t>Product Validation ID</t>
  </si>
  <si>
    <t>Product Error Code2</t>
  </si>
  <si>
    <t>Duplicates</t>
  </si>
  <si>
    <t>SmartDEV</t>
  </si>
  <si>
    <t>VAL-00012</t>
  </si>
  <si>
    <t>ERR-PER-00012</t>
  </si>
  <si>
    <t>employerCode</t>
  </si>
  <si>
    <t>FIELD</t>
  </si>
  <si>
    <t>STRUCTURAL</t>
  </si>
  <si>
    <t>REQUIRED</t>
  </si>
  <si>
    <t>employerCode is required and must not be NULL or blank.
Must be between 1 and 4 bytes.</t>
  </si>
  <si>
    <t>`employerCode` IS NOT NULL AND trim(`employerCode`) &lt;&gt; ''</t>
  </si>
  <si>
    <t>`employerCode` IS NOT NULL AND trim(cast(`employerCode` as string)) &lt;&gt; '' /* schema:required, valid:field_match, datafiles:match, db:column_match */ | baseline: `employerCode` IS NOT NULL AND trim(`employerCode`) &lt;&gt; ''</t>
  </si>
  <si>
    <t>HANDLED IN JSON VALIDATION</t>
  </si>
  <si>
    <t>VALIDATED</t>
  </si>
  <si>
    <t> </t>
  </si>
  <si>
    <t>string</t>
  </si>
  <si>
    <t>1-4 characters</t>
  </si>
  <si>
    <t>Legacy/current implemented</t>
  </si>
  <si>
    <t>VAL-00013</t>
  </si>
  <si>
    <t>ERR-PER-00013</t>
  </si>
  <si>
    <t>lastName</t>
  </si>
  <si>
    <t>lastName is required and must not be blank.
Must be between 1 and 100 bytes.
DUPLICATE SEE ROW 30.</t>
  </si>
  <si>
    <t>`lastName` IS NOT NULL AND trim(`lastName`) &lt;&gt; ''</t>
  </si>
  <si>
    <t>`lastName` IS NOT NULL AND trim(cast(`lastName` as string)) &lt;&gt; '' /* schema:required, valid:no_match, datafiles:match, db:column_match */ | baseline: `lastName` IS NOT NULL AND trim(`lastName`) &lt;&gt; ''</t>
  </si>
  <si>
    <t>The json schema validates length of characters instead of bytes</t>
  </si>
  <si>
    <t>1-100 characters</t>
  </si>
  <si>
    <t>VAL-00014</t>
  </si>
  <si>
    <t>ERR-PER-00014</t>
  </si>
  <si>
    <t>firstName</t>
  </si>
  <si>
    <t>firstName is required and must not be blank.
Must be between 1 and 60 bytes.
DUPLICATE SEE ROW 29.</t>
  </si>
  <si>
    <t>`firstName` IS NOT NULL AND trim(`firstName`) &lt;&gt; ''</t>
  </si>
  <si>
    <t>`firstName` IS NOT NULL AND trim(cast(`firstName` as string)) &lt;&gt; '' /* schema:required, valid:no_match, datafiles:match, db:column_match */ | baseline: `firstName` IS NOT NULL AND trim(`firstName`) &lt;&gt; ''</t>
  </si>
  <si>
    <t>1-60 characters</t>
  </si>
  <si>
    <t>VAL-00015</t>
  </si>
  <si>
    <t>ERR-PER-00015</t>
  </si>
  <si>
    <t>dateOfBirth</t>
  </si>
  <si>
    <t>dateOfBirth is required and must not be blank.
i.e. 1990-01-03 00:00:00</t>
  </si>
  <si>
    <t>`dateOfBirth` IS NOT NULL AND trim(`dateOfBirth`) &lt;&gt; ''</t>
  </si>
  <si>
    <t>`dateOfBirth` IS NOT NULL AND trim(cast(`dateOfBirth` as string)) &lt;&gt; '' /* schema:required, valid:field_match, datafiles:match, db:column_match */ | baseline: `dateOfBirth` IS NOT NULL AND trim(`dateOfBirth`) &lt;&gt; ''</t>
  </si>
  <si>
    <t>string (date)</t>
  </si>
  <si>
    <t>VAL-00016</t>
  </si>
  <si>
    <t>ERR-PER-00016</t>
  </si>
  <si>
    <t>personType</t>
  </si>
  <si>
    <t>personType is required and must not be NULL or blank.</t>
  </si>
  <si>
    <t>`personType` IS NOT NULL AND trim(`personType`) &lt;&gt; ''</t>
  </si>
  <si>
    <t>`personType` IS NOT NULL AND trim(cast(`personType` as string)) &lt;&gt; '' /* schema:required, valid:no_match, datafiles:match, db:column_match */ | baseline: `personType` IS NOT NULL AND trim(`personType`) &lt;&gt; ''</t>
  </si>
  <si>
    <t>EMPLOYEE</t>
  </si>
  <si>
    <t>VAL-00017</t>
  </si>
  <si>
    <t>ERR-PER-00017</t>
  </si>
  <si>
    <t>taxIdNumber</t>
  </si>
  <si>
    <t>taxIdNumber is required and must not be NULL or blank.
SQL This validates format and rejects all zeros; it does not verify that the IRS issued the number.</t>
  </si>
  <si>
    <t>"taxIdNumber" IS NOT NULL
AND trim("taxIdNumber") &lt;&gt; ''
AND trim("taxIdNumber") ~ '^\d{2}-?\d{7}$'
AND regexp_replace(trim("taxIdNumber"), '\D', '', 'g') &lt;&gt; '000000000'</t>
  </si>
  <si>
    <t>`taxIdNumber` IS NOT NULL AND trim(cast(`taxIdNumber` as string)) &lt;&gt; '' /* schema:optional, valid:field_match, datafiles:match, db:column_match */ | baseline: "taxIdNumber" IS NOT NULL
AND trim("taxIdNumber") &lt;&gt; ''
AND trim("taxIdNumber") ~ '^\d{2}-?\d{7}$'
AND regexp_replace(trim("taxIdNumber"), '\D', '', 'g') &lt;&gt; '000000000'</t>
  </si>
  <si>
    <t>DISCARDED</t>
  </si>
  <si>
    <t>Field is nullable as per json schema</t>
  </si>
  <si>
    <t>9-256 characters</t>
  </si>
  <si>
    <t>VAL-00018</t>
  </si>
  <si>
    <t>ERR-PER-00018</t>
  </si>
  <si>
    <t>taxIdType</t>
  </si>
  <si>
    <t>taxIdType is required and must not be blank.</t>
  </si>
  <si>
    <t>"taxIdType" IS NOT NULL
AND trim("taxIdType") &lt;&gt; ''
AND upper(trim("taxIdType")) IN ('SSN', 'ITIN')</t>
  </si>
  <si>
    <t>`taxIdType` IS NOT NULL AND trim(cast(`taxIdType` as string)) &lt;&gt; '' /* schema:optional, valid:no_match, datafiles:match, db:check_mapping */ | baseline: "taxIdType" IS NOT NULL
AND trim("taxIdType") &lt;&gt; ''
AND upper(trim("taxIdType")) IN ('SSN', 'ITIN')</t>
  </si>
  <si>
    <t>SSN, ITIN</t>
  </si>
  <si>
    <t>VAL-00019</t>
  </si>
  <si>
    <t>ERR-PER-00019</t>
  </si>
  <si>
    <t>primaryAddressType</t>
  </si>
  <si>
    <t>primaryAddressType is required and must not be blank.</t>
  </si>
  <si>
    <t>primaryAddressType" IS NOT NULL
AND trim("primaryAddressType") &lt;&gt; ''</t>
  </si>
  <si>
    <t>`primaryAddressType` IS NOT NULL AND trim(cast(`primaryAddressType` as string)) &lt;&gt; '' /* schema:optional, valid:no_match, datafiles:match, db:column_match */ | baseline: primaryAddressType" IS NOT NULL
AND trim("primaryAddressType") &lt;&gt; ''</t>
  </si>
  <si>
    <t>Field not present required list of json schema</t>
  </si>
  <si>
    <t>H, W, A</t>
  </si>
  <si>
    <t>VAL-00020</t>
  </si>
  <si>
    <t>ERR-PER-00020</t>
  </si>
  <si>
    <t>addresses</t>
  </si>
  <si>
    <t>There is no addresses field in person_schema.json.</t>
  </si>
  <si>
    <t>`addresses` IS NOT NULL AND trim(cast(`addresses` as string)) &lt;&gt; '' /* schema:optional, valid:no_match, datafiles:check, db:column_match */</t>
  </si>
  <si>
    <t>addresses can be null</t>
  </si>
  <si>
    <t>array</t>
  </si>
  <si>
    <t>VAL-00021</t>
  </si>
  <si>
    <t>ERR-PER-00021</t>
  </si>
  <si>
    <t>addresses[].streetAddress</t>
  </si>
  <si>
    <t>addresses[].streetAddress is required and must not be blank.</t>
  </si>
  <si>
    <t>`addresses` IS NOT NULL
AND size(`addresses`) &gt; 0
AND forall(
  `addresses`,
  address_item -&gt;
    address_item.`streetAddress` IS NULL
    OR trim(address_item.`streetAddress`) = ''
    OR octet_length(trim(address_item.`streetAddress`)) &lt; 200
)</t>
  </si>
  <si>
    <t xml:space="preserve">`addresses[].streetAddress` IS NOT NULL AND trim(cast(`addresses[].streetAddress` as string)) &lt;&gt; '' /* schema:unmapped, valid:no_match, datafiles:match, db:column_match */ | baseline: `addresses` IS NOT NULL
AND size(`addresses`) &gt; 0
AND forall(
  `addresses`,
  address_item -&gt;
    address_item.`streetAddress` IS NULL
    OR trim(address_item.`streetAddress`) = </t>
  </si>
  <si>
    <t>≤ 200 characters</t>
  </si>
  <si>
    <t>VAL-00022</t>
  </si>
  <si>
    <t>ERR-PER-00022</t>
  </si>
  <si>
    <t>addresses[].city</t>
  </si>
  <si>
    <t>addresses[].city is required and must not be blank.
We should create a city reference table to validate against?
If we use a reference table we do not need structural validation.</t>
  </si>
  <si>
    <t>`addresses` IS NOT NULL
AND size(`addresses`) &gt; 0
AND forall(
  `addresses`,
  address_item -&gt;
    address_item.`city` IS NOT NULL
    AND trim(address_item.`city`) &lt;&gt; ''
    AND octet_length(trim(address_item.`city`)) &lt;= 50
    AND upper(trim(address_item.`city`)) IN (
      SELECT upper(trim(`city`))
      FROM `city_reference`
      WHERE `city` IS NOT NULL
    )
)</t>
  </si>
  <si>
    <t>`addresses[].city` IS NOT NULL AND trim(cast(`addresses[].city` as string)) &lt;&gt; '' /* schema:unmapped, valid:no_match, datafiles:match, db:column_match */ | baseline: `addresses` IS NOT NULL
AND size(`addresses`) &gt; 0
AND forall(
  `addresses`,
  address_item -&gt;
    address_item.`city` IS NOT NULL
    AND trim(address_item.`city`) &lt;&gt; ''
    AND o</t>
  </si>
  <si>
    <t>Field can be nullable</t>
  </si>
  <si>
    <t>≤ 50 characters</t>
  </si>
  <si>
    <t>VAL-00023</t>
  </si>
  <si>
    <t>ERR-PER-00023</t>
  </si>
  <si>
    <t>addresses[].state</t>
  </si>
  <si>
    <t>addresses[].state is required and must not be blank.
We should create a state reference table to validate against?
If we use a reference table we do not need structural validation.</t>
  </si>
  <si>
    <t>`addresses` IS NOT NULL
AND size(`addresses`) &gt; 0
AND forall(
  `addresses`,
  address_item -&gt;
    address_item.`state` IS NOT NULL
    AND trim(address_item.`state`) &lt;&gt; ''
    AND upper(trim(address_item.`state`)) IN (
      SELECT upper(trim(`state_code`))
      FROM `state_reference`
      WHERE `state_code` IS NOT NULL
    )
)</t>
  </si>
  <si>
    <t>`addresses[].state` IS NOT NULL AND trim(cast(`addresses[].state` as string)) &lt;&gt; '' /* schema:unmapped, valid:no_match, datafiles:match, db:column_match */ | baseline: `addresses` IS NOT NULL
AND size(`addresses`) &gt; 0
AND forall(
  `addresses`,
  address_item -&gt;
    address_item.`state` IS NOT NULL
    AND trim(address_item.`state`) &lt;&gt; ''
    AND</t>
  </si>
  <si>
    <t>≤ 4 characters</t>
  </si>
  <si>
    <t>VAL-00024</t>
  </si>
  <si>
    <t>ERR-PER-00024</t>
  </si>
  <si>
    <t>addresses[].zipCode</t>
  </si>
  <si>
    <t>addresses[].zipCode is required and must not be NULL or blank.
We should create a zip reference table to validate against?
If we use a reference table we do not need structural validation.</t>
  </si>
  <si>
    <t>`addresses` IS NOT NULL
AND size(`addresses`) &gt; 0
AND forall(
  `addresses`,
  address_item -&gt;
    address_item.`zipCode` IS NOT NULL
    AND trim(address_item.`zipCode`) &lt;&gt; ''
    AND trim(address_item.`zipCode`) IN (
      SELECT trim(`zip_code`)
      FROM `zip_reference`
      WHERE `zip_code` IS NOT NULL
    )
)</t>
  </si>
  <si>
    <t xml:space="preserve">`addresses[].zipCode` IS NOT NULL AND trim(cast(`addresses[].zipCode` as string)) &lt;&gt; '' /* schema:unmapped, valid:no_match, datafiles:match, db:column_match */ | baseline: `addresses` IS NOT NULL
AND size(`addresses`) &gt; 0
AND forall(
  `addresses`,
  address_item -&gt;
    address_item.`zipCode` IS NOT NULL
    AND trim(address_item.`zipCode`) &lt;&gt; ''
   </t>
  </si>
  <si>
    <t>≤ 10 characters</t>
  </si>
  <si>
    <t>VAL-00025</t>
  </si>
  <si>
    <t>ERR-PER-00025</t>
  </si>
  <si>
    <t>addresses[].country</t>
  </si>
  <si>
    <t>addresses[].country is required and must not be  NULL or blank.
We should create a country reference table to validate against?
If we use a reference table we do not need structural validation.</t>
  </si>
  <si>
    <t>`addresses` IS NOT NULL
AND size(`addresses`) &gt; 0
AND forall(
  `addresses`,
  address_item -&gt;
    address_item.`country` IS NOT NULL
    AND trim(address_item.`country`) &lt;&gt; ''
    AND upper(trim(address_item.`country`)) IN (
      SELECT upper(trim(`country_code`))
      FROM `country_reference`
      WHERE `country_code` IS NOT NULL
    )
)</t>
  </si>
  <si>
    <t xml:space="preserve">`addresses[].country` IS NOT NULL AND trim(cast(`addresses[].country` as string)) &lt;&gt; '' /* schema:unmapped, valid:no_match, datafiles:match, db:column_match */ | baseline: `addresses` IS NOT NULL
AND size(`addresses`) &gt; 0
AND forall(
  `addresses`,
  address_item -&gt;
    address_item.`country` IS NOT NULL
    AND trim(address_item.`country`) &lt;&gt; ''
   </t>
  </si>
  <si>
    <t>Field can be null as per Json schema</t>
  </si>
  <si>
    <t>≤ 2 characters</t>
  </si>
  <si>
    <t>VAL-00026</t>
  </si>
  <si>
    <t>ERR-PER-00026</t>
  </si>
  <si>
    <t>emails[].emailType</t>
  </si>
  <si>
    <t>emails[].emailType is required and must not be blank. Value must be W, P or A.</t>
  </si>
  <si>
    <t>`emails` IS NULL
OR forall(
  `emails`,
  email_item -&gt;
    email_item.`emailType` IS NOT NULL
    AND trim(email_item.`emailType`) &lt;&gt; ''
    AND upper(trim(email_item.`emailType`)) IN ('W', 'P', 'A')
)</t>
  </si>
  <si>
    <t>`emails[].emailType` IS NOT NULL AND trim(cast(`emails[].emailType` as string)) &lt;&gt; '' /* schema:unmapped, valid:no_match, datafiles:match, db:column_match */ | baseline: `emails` IS NULL
OR forall(
  `emails`,
  email_item -&gt;
    email_item.`emailType` IS NOT NULL
    AND trim(email_item.`emailType`) &lt;&gt; ''
    AND upper(trim(email_item.`emailType`)</t>
  </si>
  <si>
    <t>Field can be null</t>
  </si>
  <si>
    <t>W, P, A</t>
  </si>
  <si>
    <t>VAL-00027</t>
  </si>
  <si>
    <t>ERR-PER-00027</t>
  </si>
  <si>
    <t>emails[].email</t>
  </si>
  <si>
    <t>emails[].email is required and must not be blank.</t>
  </si>
  <si>
    <t>`emails` IS NULL
OR forall(
  `emails`,
  email_item -&gt;
    email_item.`emailAddress` IS NOT NULL
    AND trim(email_item.`emailAddress`) &lt;&gt; ''
    AND trim(email_item.`emailAddress`) RLIKE
        '^[A-Za-z0-9.!#$%&amp;''*+/=?^_`{|}~-]+@[A-Za-z0-9-]+(\\.[A-Za-z0-9-]+)+$'
)</t>
  </si>
  <si>
    <t>`emails[].email` IS NOT NULL AND trim(cast(`emails[].email` as string)) &lt;&gt; '' /* schema:unmapped, valid:no_match, datafiles:match, db:check_mapping */ | baseline: `emails` IS NULL
OR forall(
  `emails`,
  email_item -&gt;
    email_item.`emailAddress` IS NOT NULL
    AND trim(email_item.`emailAddress`) &lt;&gt; ''
    AND trim(email_item.`emailAddres</t>
  </si>
  <si>
    <t>field can be nullable</t>
  </si>
  <si>
    <t>≤ 254 characters</t>
  </si>
  <si>
    <t>VAL-00028</t>
  </si>
  <si>
    <t>ERR-PER-00028</t>
  </si>
  <si>
    <t>phones[].phoneNumber</t>
  </si>
  <si>
    <t>phones[].phoneNumber is required and must not be NULL or blank.</t>
  </si>
  <si>
    <t>`phones` IS NULL
OR forall(
  `phones`,
  phone_item -&gt;
    phone_item.`phoneNumber` IS NOT NULL
    AND trim(phone_item.`phoneNumber`) &lt;&gt; ''
    AND regexp_replace(
          trim(phone_item.`phoneNumber`),
          '[^0-9]',
          ''
        ) RLIKE '^1?[2-9][0-9]{2}[2-9][0-9]{6}$'
)</t>
  </si>
  <si>
    <t>`phones[].phoneNumber` IS NOT NULL AND trim(cast(`phones[].phoneNumber` as string)) &lt;&gt; '' /* schema:unmapped, valid:no_match, datafiles:match, db:column_match */ | baseline: `phones` IS NULL
OR forall(
  `phones`,
  phone_item -&gt;
    phone_item.`phoneNumber` IS NOT NULL
    AND trim(phone_item.`phoneNumber`) &lt;&gt; ''
    AND regexp_replace(
          trim</t>
  </si>
  <si>
    <t>Phone number can be null as per Json Schema. The regex pattern only validates the american phone numbers. This check is not present in Json schema</t>
  </si>
  <si>
    <t>≤ 15 characters</t>
  </si>
  <si>
    <t>VAL-00957</t>
  </si>
  <si>
    <t>ERR-PER-00957</t>
  </si>
  <si>
    <t>DATA_TYPE</t>
  </si>
  <si>
    <t>employerCode must have datatype string.</t>
  </si>
  <si>
    <t>typeof(`employerCode`) = 'string'</t>
  </si>
  <si>
    <t>`employerCode` IS NULL OR typeof(`employerCode`) = 'string' /* schema:required, valid:field_match, datafiles:match, db:column_match */ | baseline: typeof(`employerCode`) = 'string'</t>
  </si>
  <si>
    <t>VAL-00958</t>
  </si>
  <si>
    <t>ERR-PER-00958</t>
  </si>
  <si>
    <t>MAX_LENGTH</t>
  </si>
  <si>
    <t>employerCode must not exceed 4 characters.</t>
  </si>
  <si>
    <t>see above</t>
  </si>
  <si>
    <t>`employerCode` IS NULL OR length(cast(`employerCode` as string)) &lt;= 1 /* schema:required, valid:field_match, datafiles:match, db:column_match */ | baseline: see above</t>
  </si>
  <si>
    <t>Not required as we are validating the pattern</t>
  </si>
  <si>
    <t>VAL-00959</t>
  </si>
  <si>
    <t>ERR-PER-00959</t>
  </si>
  <si>
    <t>PATTERN</t>
  </si>
  <si>
    <t>Value must match the  business-approved pattern</t>
  </si>
  <si>
    <t>`employerCode` RLIKE '^[A-Za-z0-9]{1,4}$'</t>
  </si>
  <si>
    <t>`employerCode` RLIKE '^[A-Za-z0-9]{1,4}$' /* schema:required, valid:field_match, datafiles:match, db:column_match */</t>
  </si>
  <si>
    <t>E001</t>
  </si>
  <si>
    <t>Potential candidate from Data Files Excel</t>
  </si>
  <si>
    <t>VAL-00960</t>
  </si>
  <si>
    <t>ERR-PER-00960</t>
  </si>
  <si>
    <t>sourceFileName</t>
  </si>
  <si>
    <t>sourceFileName is required and must not be blank.</t>
  </si>
  <si>
    <t>`sourceFileName` IS NOT NULL
AND trim(`sourceFileName`) &lt;&gt; ''
AND length(trim(`sourceFileName`)) &lt;= 255
AND upper(trim(`sourceFileName`))
    RLIKE '^[0-9]{2}PERSONAL[0-9]{8}$'</t>
  </si>
  <si>
    <t>`sourceFileName` IS NOT NULL AND trim(cast(`sourceFileName` as string)) &lt;&gt; '' /* schema:optional, valid:no_match, datafiles:match, db:column_match */ | baseline: `sourceFileName` IS NOT NULL
AND trim(`sourceFileName`) &lt;&gt; ''
AND length(trim(`sourceFileName`)) &lt;= 255
AND upper(trim(`sourceFileName`))
    RLIKE '^[0-9]{2}PERSONAL[0-9]{8}$'</t>
  </si>
  <si>
    <t xml:space="preserve">Field is nullable in schema json </t>
  </si>
  <si>
    <t>≤ 255 characters</t>
  </si>
  <si>
    <t>01_PERSONAL_MMDDYYYY</t>
  </si>
  <si>
    <t>VAL-00961</t>
  </si>
  <si>
    <t>ERR-PER-00961</t>
  </si>
  <si>
    <t>Validate numeric/decimal format; reject non-numeric characters except allowed decimal/sign characters.</t>
  </si>
  <si>
    <t>`sourceFileName` IS NULL OR (typeof(`sourceFileName`) = 'string')</t>
  </si>
  <si>
    <t>`sourceFileName` IS NULL OR cast(`sourceFileName` as decimal(38,10)) IS NOT NULL /* schema:optional, valid:no_match, datafiles:match, db:column_match */ | baseline: `sourceFileName` IS NULL OR (typeof(`sourceFileName`) = 'string')</t>
  </si>
  <si>
    <t>VAL-00962</t>
  </si>
  <si>
    <t>ERR-PER-00962</t>
  </si>
  <si>
    <t>sourceFileName must not exceed 255 characters.</t>
  </si>
  <si>
    <t>`sourceFileName` IS NULL OR (length(`sourceFileName`) &lt;= 255)</t>
  </si>
  <si>
    <t>`sourceFileName` IS NULL OR length(cast(`sourceFileName` as string)) &lt;= 255 /* schema:optional, valid:no_match, datafiles:match, db:column_match */ | baseline: `sourceFileName` IS NULL OR (length(`sourceFileName`) &lt;= 255)</t>
  </si>
  <si>
    <t>VAL-00963</t>
  </si>
  <si>
    <t>ERR-PER-00963</t>
  </si>
  <si>
    <t>ALLOWED_VALUES</t>
  </si>
  <si>
    <t>Value must match workbook example code list or Reference Table where defined; codes should be compared after trim and case normalization only where business-approved.</t>
  </si>
  <si>
    <t>`sourceFileName` IS NULL OR upper(trim(cast(`sourceFileName` as string))) IN ('01_PERSONAL_MMDDYYYY') /* schema:optional, valid:no_match, datafiles:match, db:column_match */ | baseline: see above</t>
  </si>
  <si>
    <t>Approved allowed values are not supplied in the JSON schema or in a definitive product rule.</t>
  </si>
  <si>
    <t>VAL-00968</t>
  </si>
  <si>
    <t>ERR-PER-00968</t>
  </si>
  <si>
    <t>uniqueId</t>
  </si>
  <si>
    <t>uniqueId is required and must not be NULL or blank.</t>
  </si>
  <si>
    <t>`uniqueId` IS NOT NULL AND trim(`uniqueId`) &lt;&gt; ''</t>
  </si>
  <si>
    <t>`uniqueId` IS NOT NULL AND trim(cast(`uniqueId` as string)) &lt;&gt; '' /* schema:required, valid:no_match, datafiles:check, db:column_match */ | baseline: `uniqueId` IS NOT NULL AND trim(`uniqueId`) &lt;&gt; ''</t>
  </si>
  <si>
    <t>1-64 characters</t>
  </si>
  <si>
    <t>TBD</t>
  </si>
  <si>
    <t>VAL-00969</t>
  </si>
  <si>
    <t>ERR-PER-00969</t>
  </si>
  <si>
    <t>typeof(`uniqueId`) = 'string'</t>
  </si>
  <si>
    <t>`uniqueId` IS NULL OR cast(`uniqueId` as decimal(38,10)) IS NOT NULL /* schema:required, valid:no_match, datafiles:check, db:column_match */ | baseline: typeof(`uniqueId`) = 'string'</t>
  </si>
  <si>
    <t>VAL-00970</t>
  </si>
  <si>
    <t>ERR-PER-00970</t>
  </si>
  <si>
    <t>uniqueId must not exceed 64 characters.</t>
  </si>
  <si>
    <t>length(`uniqueId`) &lt;= 64</t>
  </si>
  <si>
    <t>`uniqueId` IS NULL OR length(cast(`uniqueId` as string)) &lt;= 1 /* schema:required, valid:no_match, datafiles:check, db:column_match */ | baseline: length(`uniqueId`) &lt;= 64</t>
  </si>
  <si>
    <t>VAL-01006</t>
  </si>
  <si>
    <t>ERR-PER-01006</t>
  </si>
  <si>
    <t>uniqueId must contain only letters, numbers, period (.), underscore (_), colon (:), or hyphen (-), and be 1 to 64 characters long.</t>
  </si>
  <si>
    <t>`uniqueId` RLIKE '^[A-Za-z0-9._:-]{1,64}$'</t>
  </si>
  <si>
    <t>`uniqueId` RLIKE '^[A-Za-z0-9._:-]{1,64}$' /* schema:required, valid:no_match, datafiles:check, db:column_match */</t>
  </si>
  <si>
    <t>VAL-00991</t>
  </si>
  <si>
    <t>ERR-PER-00991</t>
  </si>
  <si>
    <t>firstName must have datatype string.</t>
  </si>
  <si>
    <t>`firstName` IS NULL OR (typeof(`firstName`) = 'string')</t>
  </si>
  <si>
    <t>`firstName` IS NULL OR typeof(`firstName`) = 'string' /* schema:required, valid:no_match, datafiles:match, db:column_match */ | baseline: `firstName` IS NULL OR (typeof(`firstName`) = 'string')</t>
  </si>
  <si>
    <t>VAL-00992</t>
  </si>
  <si>
    <t>ERR-PER-00992</t>
  </si>
  <si>
    <t>firstName must not exceed 60 characters.</t>
  </si>
  <si>
    <t>`firstName` IS NULL OR (length(`firstName`) &lt;= 60)</t>
  </si>
  <si>
    <t>`firstName` IS NULL OR length(cast(`firstName` as string)) &lt;= 1 /* schema:required, valid:no_match, datafiles:match, db:column_match */ | baseline: `firstName` IS NULL OR (length(`firstName`) &lt;= 60)</t>
  </si>
  <si>
    <t>VAL-00993</t>
  </si>
  <si>
    <t>ERR-PER-00993</t>
  </si>
  <si>
    <t>middleName</t>
  </si>
  <si>
    <t>Validate field according to workbook data type 'nameFlexible'.</t>
  </si>
  <si>
    <t>`middleName` IS NULL OR (typeof(`middleName`) = 'string')</t>
  </si>
  <si>
    <t>`middleName` IS NULL OR typeof(`middleName`) = 'string' /* schema:optional, valid:no_match, datafiles:match, db:column_match */ | baseline: `middleName` IS NULL OR (typeof(`middleName`) = 'string')</t>
  </si>
  <si>
    <t>≤ 100 characters</t>
  </si>
  <si>
    <t>J.</t>
  </si>
  <si>
    <t>VAL-00994</t>
  </si>
  <si>
    <t>ERR-PER-00994</t>
  </si>
  <si>
    <t>middleName must not exceed 100 characters.</t>
  </si>
  <si>
    <t>`middleName` IS NULL OR (length(`middleName`) &lt;= 100)</t>
  </si>
  <si>
    <t>`middleName` IS NULL OR length(cast(`middleName` as string)) &lt;= 100 /* schema:optional, valid:no_match, datafiles:match, db:column_match */ | baseline: `middleName` IS NULL OR (length(`middleName`) &lt;= 100)</t>
  </si>
  <si>
    <t>VAL-00996</t>
  </si>
  <si>
    <t>ERR-PER-00996</t>
  </si>
  <si>
    <t>lastName must have datatype string.</t>
  </si>
  <si>
    <t>typeof(`lastName`) = 'string'</t>
  </si>
  <si>
    <t>`lastName` IS NULL OR typeof(`lastName`) = 'string' /* schema:required, valid:no_match, datafiles:match, db:column_match */ | baseline: typeof(`lastName`) = 'string'</t>
  </si>
  <si>
    <t>VAL-00997</t>
  </si>
  <si>
    <t>ERR-PER-00997</t>
  </si>
  <si>
    <t>lastName must not exceed 100 characters.</t>
  </si>
  <si>
    <t>length(`lastName`) &lt;= 100</t>
  </si>
  <si>
    <t>`lastName` IS NULL OR length(cast(`lastName` as string)) &lt;= 1 /* schema:required, valid:no_match, datafiles:match, db:column_match */ | baseline: length(`lastName`) &lt;= 100</t>
  </si>
  <si>
    <t>VAL-00999</t>
  </si>
  <si>
    <t>ERR-PER-00999</t>
  </si>
  <si>
    <t>taxIdNumber must have datatype string.</t>
  </si>
  <si>
    <t>`taxIdNumber` IS NULL
OR (
  typeof(`taxIdNumber`) = 'string'
)</t>
  </si>
  <si>
    <t>`taxIdNumber` IS NULL OR cast(`taxIdNumber` as decimal(38,10)) IS NOT NULL /* schema:optional, valid:field_match, datafiles:match, db:column_match */ | baseline: `taxIdNumber` IS NULL
OR (
  typeof(`taxIdNumber`) = 'string'
)</t>
  </si>
  <si>
    <t>VAL-01000</t>
  </si>
  <si>
    <t>ERR-PER-01000</t>
  </si>
  <si>
    <t>taxIdNumber must be null, a 9-digit raw Tax ID, or an encrypted/HMAC value of 32 to 256 permitted characters.</t>
  </si>
  <si>
    <t>`taxIdNumber` IS NULL OR `taxIdNumber` RLIKE '^[0-9]{9}$' OR `taxIdNumber` RLIKE '^[A-Za-z0-9+/=_:-]{32,256}$'</t>
  </si>
  <si>
    <t>`taxIdNumber` IS NULL OR `taxIdNumber` RLIKE '^[0-9]{9}$' OR `taxIdNumber` RLIKE '^[A-Za-z0-9+/=_:-]{32,256}$' /* schema:optional, valid:field_match, datafiles:match, db:column_match */</t>
  </si>
  <si>
    <t>VAL-01001</t>
  </si>
  <si>
    <t>ERR-PER-01001</t>
  </si>
  <si>
    <t>`taxIdNumber` IS NULL OR upper(trim(cast(`taxIdNumber` as string))) IN ('XXX-XX-1234') /* schema:optional, valid:field_match, datafiles:match, db:column_match */ | baseline: see above</t>
  </si>
  <si>
    <t>No reference lookup required</t>
  </si>
  <si>
    <t>XXX-XX-1234</t>
  </si>
  <si>
    <t>VAL-01002</t>
  </si>
  <si>
    <t>ERR-PER-01002</t>
  </si>
  <si>
    <t>taxIdType must have datatype string.</t>
  </si>
  <si>
    <t>`taxIdType` IS NULL OR (typeof(`taxIdType`) = 'string')</t>
  </si>
  <si>
    <t>`taxIdType` IS NULL OR typeof(`taxIdType`) = 'string' /* schema:optional, valid:no_match, datafiles:match, db:check_mapping */ | baseline: `taxIdType` IS NULL OR (typeof(`taxIdType`) = 'string')</t>
  </si>
  <si>
    <t>VAL-01003</t>
  </si>
  <si>
    <t>ERR-PER-01003</t>
  </si>
  <si>
    <t>Field length must be &lt;= 4 characters/digits as defined in the workbook.</t>
  </si>
  <si>
    <t>`taxIdType` IS NULL OR length(cast(`taxIdType` as string)) &lt;= 4 /* schema:optional, valid:no_match, datafiles:match, db:check_mapping */ | baseline: see above</t>
  </si>
  <si>
    <t>Validation not needed as it checks allowed values</t>
  </si>
  <si>
    <t>VAL-01004</t>
  </si>
  <si>
    <t>ERR-PER-01004</t>
  </si>
  <si>
    <t>taxIdType must be one of: SSN, ITIN.</t>
  </si>
  <si>
    <t>`taxIdType` IS NULL OR (upper(trim(`taxIdType`)) IN ('SSN', 'ITIN'))</t>
  </si>
  <si>
    <t>`taxIdType` IS NULL OR upper(trim(cast(`taxIdType` as string))) IN ('SSN', 'ITIN') /* schema:optional, valid:no_match, datafiles:match, db:check_mapping */ | baseline: `taxIdType` IS NULL OR (upper(trim(`taxIdType`)) IN ('SSN', 'ITIN'))</t>
  </si>
  <si>
    <t>VAL-01005</t>
  </si>
  <si>
    <t>ERR-PER-01005</t>
  </si>
  <si>
    <t>usCitizen</t>
  </si>
  <si>
    <t>Validate boolean/indicator value, normally Y/N unless a field-specific reference table says otherwise.
This column is boolean so true or false only.</t>
  </si>
  <si>
    <t>`usCitizen` IS NULL OR (typeof(`usCitizen`) = 'boolean')</t>
  </si>
  <si>
    <t>`usCitizen` IS NULL OR upper(trim(cast(`usCitizen` as string))) IN ('Y','N','TRUE','FALSE','1','0') /* schema:optional, valid:no_match, datafiles:match, db:column_match */ | baseline: `usCitizen` IS NULL OR (typeof(`usCitizen`) = 'boolean')</t>
  </si>
  <si>
    <t>boolean</t>
  </si>
  <si>
    <t>Y or N</t>
  </si>
  <si>
    <t>Field length must be &lt;= 1 characters/digits as defined in the workbook.
This column is boolean so true or false only.</t>
  </si>
  <si>
    <t>`usCitizen` IS NULL OR length(cast(`usCitizen` as string)) &lt;= 1 /* schema:optional, valid:no_match, datafiles:match, db:column_match */</t>
  </si>
  <si>
    <t>Validation not needed as it is boolean datatype</t>
  </si>
  <si>
    <t>VAL-01008</t>
  </si>
  <si>
    <t>ERR-PER-01008</t>
  </si>
  <si>
    <t>dateOfBirth must have datatype date_iso.
(YYYY-MM-DD)</t>
  </si>
  <si>
    <t>`dateOfBirth` IS NULL OR (typeof(`dateOfBirth`) = 'string')</t>
  </si>
  <si>
    <t>`dateOfBirth` IS NULL OR to_date(cast(`dateOfBirth` as string), 'yyyy-MM-dd') IS NOT NULL /* schema:required, valid:field_match, datafiles:match, db:column_match */ | baseline: `dateOfBirth` IS NULL OR (typeof(`dateOfBirth`) = 'string')</t>
  </si>
  <si>
    <t>VAL-01009</t>
  </si>
  <si>
    <t>ERR-PER-01009</t>
  </si>
  <si>
    <t>Field length must be &lt;= 10 characters/digits as defined in the workbook.</t>
  </si>
  <si>
    <t>`dateOfBirth` IS NULL OR length(cast(`dateOfBirth` as string)) &lt;= 10 /* schema:required, valid:field_match, datafiles:match, db:column_match */ | baseline: see above</t>
  </si>
  <si>
    <t>mm/dd/yyyy</t>
  </si>
  <si>
    <t>VAL-01010</t>
  </si>
  <si>
    <t>ERR-PER-01010</t>
  </si>
  <si>
    <t>DATE_FORMAT</t>
  </si>
  <si>
    <t>dateOfBirth must be a valid calendar date in yyyy-MM-dd format.</t>
  </si>
  <si>
    <t>`dateOfBirth` IS NULL OR (`dateOfBirth` RLIKE '^[0-9]{4}-(0[1-9]|1[0-2])-(0[1-9]|[12][0-9]|3[01])$' AND to_date(`dateOfBirth`, 'yyyy-MM-dd') IS NOT NULL)</t>
  </si>
  <si>
    <t>`dateOfBirth` IS NULL OR to_date(cast(`dateOfBirth` as string), 'yyyy-MM-dd') IS NOT NULL /* schema:required, valid:field_match, datafiles:match, db:column_match */ | baseline: `dateOfBirth` IS NULL OR (`dateOfBirth` RLIKE '^[0-9]{4}-(0[1-9]|1[0-2])-(0[1-9]|[12][0-9]|3[01])$' AND to_date(`dateOfBirth`, 'yyyy-MM-dd') IS NOT NULL)</t>
  </si>
  <si>
    <t>VAL-01011</t>
  </si>
  <si>
    <t>ERR-PER-01011</t>
  </si>
  <si>
    <t>dateOfDeath</t>
  </si>
  <si>
    <t>dateOfDeath must have datatype date_iso.
(YYYY-MM-DD)</t>
  </si>
  <si>
    <t>`dateOfDeath` IS NULL OR (typeof(`dateOfDeath`) = 'string')</t>
  </si>
  <si>
    <t>`dateOfDeath` IS NULL OR to_date(cast(`dateOfDeath` as string), 'yyyy-MM-dd') IS NOT NULL /* schema:optional, valid:field_match, datafiles:match, db:column_match */ | baseline: `dateOfDeath` IS NULL OR (typeof(`dateOfDeath`) = 'string')</t>
  </si>
  <si>
    <t>VAL-01012</t>
  </si>
  <si>
    <t>ERR-PER-01012</t>
  </si>
  <si>
    <t>`dateOfDeath` IS NULL OR length(cast(`dateOfDeath` as string)) &lt;= 10 /* schema:optional, valid:field_match, datafiles:match, db:column_match */ | baseline: see above</t>
  </si>
  <si>
    <t>VAL-01013</t>
  </si>
  <si>
    <t>ERR-PER-01013</t>
  </si>
  <si>
    <t>dateOfDeath must be a valid calendar date in yyyy-MM-dd format.</t>
  </si>
  <si>
    <t>`dateOfDeath` IS NULL OR (`dateOfDeath` RLIKE '^[0-9]{4}-(0[1-9]|1[0-2])-(0[1-9]|[12][0-9]|3[01])$' AND to_date(`dateOfDeath`, 'yyyy-MM-dd') IS NOT NULL)</t>
  </si>
  <si>
    <t>`dateOfDeath` IS NULL OR to_date(cast(`dateOfDeath` as string), 'yyyy-MM-dd') IS NOT NULL /* schema:optional, valid:field_match, datafiles:match, db:column_match */ | baseline: `dateOfDeath` IS NULL OR (`dateOfDeath` RLIKE '^[0-9]{4}-(0[1-9]|1[0-2])-(0[1-9]|[12][0-9]|3[01])$' AND to_date(`dateOfDeath`, 'yyyy-MM-dd') IS NOT NULL)</t>
  </si>
  <si>
    <t>VAL-01015</t>
  </si>
  <si>
    <t>ERR-PER-01015</t>
  </si>
  <si>
    <t>personType must have datatype string.</t>
  </si>
  <si>
    <t>typeof(`personType`) = 'string'</t>
  </si>
  <si>
    <t>`personType` IS NULL OR typeof(`personType`) = 'string' /* schema:required, valid:no_match, datafiles:match, db:column_match */ | baseline: typeof(`personType`) = 'string'</t>
  </si>
  <si>
    <t>VAL-01016</t>
  </si>
  <si>
    <t>ERR-PER-01016</t>
  </si>
  <si>
    <t>Field length must be &lt;= 11 characters/digits as defined in the workbook.</t>
  </si>
  <si>
    <t>`personType` IS NULL OR (length(`personType`) &lt;= 11)</t>
  </si>
  <si>
    <t>`personType` IS NULL OR length(cast(`personType` as string)) &lt;= 11 /* schema:required, valid:no_match, datafiles:match, db:column_match */ | baseline: `personType` IS NULL OR (length(`personType`) &lt;= 11)</t>
  </si>
  <si>
    <t>Validation not needed as it checks the allowed values</t>
  </si>
  <si>
    <t>VAL-01017</t>
  </si>
  <si>
    <t>ERR-PER-01017</t>
  </si>
  <si>
    <t>personType must be one of EMPLOYEE, NONEMPLOYEE.
In person.schema.json personType is missing NONEMPLOYEE constant.
common-definitions.schema.json has both.</t>
  </si>
  <si>
    <t>`personType` IN ('EMPLOYEE', 'NONEMPLOYEE')</t>
  </si>
  <si>
    <t>`personType` IS NULL OR upper(trim(cast(`personType` as string))) IN ('EMPLOYEE') /* schema:required, valid:no_match, datafiles:match, db:column_match */ | baseline: `personType` IN ('EMPLOYEE', 'NONEMPLOYEE')</t>
  </si>
  <si>
    <t>VAL-01018</t>
  </si>
  <si>
    <t>ERR-PER-01018</t>
  </si>
  <si>
    <t>gender</t>
  </si>
  <si>
    <t>Validate alphabetic uppercase code/value.</t>
  </si>
  <si>
    <t>`gender` IS NULL OR (typeof(`gender`) = 'string')</t>
  </si>
  <si>
    <t>`gender` IS NULL OR typeof(`gender`) = 'string' /* schema:optional, valid:no_match, datafiles:match, db:column_match */ | baseline: `gender` IS NULL OR (typeof(`gender`) = 'string')</t>
  </si>
  <si>
    <t>M, F, U</t>
  </si>
  <si>
    <t>VAL-01019</t>
  </si>
  <si>
    <t>ERR-PER-01019</t>
  </si>
  <si>
    <t>gender must be one of : 'M', 'F', 'U'</t>
  </si>
  <si>
    <t>`gender` IS  NULL
OR upper(trim(`gender`)) IN ('M', 'F', 'U')</t>
  </si>
  <si>
    <t>`gender` IS NULL OR upper(trim(cast(`gender` as string))) IN ('M', 'F', 'U') /* schema:optional, valid:no_match, datafiles:match, db:column_match */ | baseline: `gender` IS  NULL
OR upper(trim(`gender`)) IN ('M', 'F', 'U')</t>
  </si>
  <si>
    <t>VAL-01020</t>
  </si>
  <si>
    <t>ERR-PER-01020</t>
  </si>
  <si>
    <t>maritalStatus</t>
  </si>
  <si>
    <t>`maritalStatus` IS NULL OR (typeof(`maritalStatus`) = 'string')</t>
  </si>
  <si>
    <t>`maritalStatus` IS NULL OR typeof(`maritalStatus`) = 'string' /* schema:optional, valid:no_match, datafiles:match, db:column_match */ | baseline: `maritalStatus` IS NULL OR (typeof(`maritalStatus`) = 'string')</t>
  </si>
  <si>
    <t>M, D, S, W, O</t>
  </si>
  <si>
    <t>VAL-01021</t>
  </si>
  <si>
    <t>ERR-PER-01021</t>
  </si>
  <si>
    <t>Field length must be &lt;= 1 characters/digits as defined in the workbook.</t>
  </si>
  <si>
    <t>`maritalStatus` IS NULL OR length(cast(`maritalStatus` as string)) &lt;= 1 /* schema:optional, valid:no_match, datafiles:match, db:column_match */ | baseline: see above</t>
  </si>
  <si>
    <t>VAL-01022</t>
  </si>
  <si>
    <t>ERR-PER-01022</t>
  </si>
  <si>
    <t>maritalStatus must be one of: M, D, S, W, O.</t>
  </si>
  <si>
    <t>`maritalStatus` IS NULL OR (upper(trim(`maritalStatus`)) IN ('M', 'D', 'S', 'W', 'O'))</t>
  </si>
  <si>
    <t>`maritalStatus` IS NULL OR upper(trim(cast(`maritalStatus` as string))) IN ('M', 'D', 'S', 'W', 'O') /* schema:optional, valid:no_match, datafiles:match, db:column_match */ | baseline: `maritalStatus` IS NULL OR (upper(trim(`maritalStatus`)) IN ('M', 'D', 'S', 'W', 'O'))</t>
  </si>
  <si>
    <t>VAL-01023</t>
  </si>
  <si>
    <t>ERR-PER-01023</t>
  </si>
  <si>
    <t>maritalStatusEffectiveDate</t>
  </si>
  <si>
    <t>Validate as date; accept configured source format and normalize to ISO date for downstream processing.</t>
  </si>
  <si>
    <t>`maritalStatusEffectiveDate` IS NULL OR (typeof(`maritalStatusEffectiveDate`) = 'string')</t>
  </si>
  <si>
    <t>`maritalStatusEffectiveDate` IS NULL OR to_date(cast(`maritalStatusEffectiveDate` as string), 'MM/dd/yyyy') IS NOT NULL /* schema:optional, valid:no_match, datafiles:match, db:column_match */ | baseline: `maritalStatusEffectiveDate` IS NULL OR (typeof(`maritalStatusEffectiveDate`) = 'string')</t>
  </si>
  <si>
    <t>VAL-01024</t>
  </si>
  <si>
    <t>ERR-PER-01024</t>
  </si>
  <si>
    <t>`maritalStatusEffectiveDate` IS NULL OR (length(`maritalStatusEffectiveDate`) &lt;= 10)</t>
  </si>
  <si>
    <t>`maritalStatusEffectiveDate` IS NULL OR length(cast(`maritalStatusEffectiveDate` as string)) &lt;= 10 /* schema:optional, valid:no_match, datafiles:match, db:column_match */ | baseline: `maritalStatusEffectiveDate` IS NULL OR (length(`maritalStatusEffectiveDate`) &lt;= 10)</t>
  </si>
  <si>
    <t>Validation is not required as field is date</t>
  </si>
  <si>
    <t>VAL-01025</t>
  </si>
  <si>
    <t>ERR-PER-01025</t>
  </si>
  <si>
    <t>`maritalStatusEffectiveDate` IS NULL OR (`maritalStatusEffectiveDate` RLIKE '^[0-9]{4}-(0[1-9]|1[0-2])-(0[1-9]|[12][0-9]|3[01])$')</t>
  </si>
  <si>
    <t>`maritalStatusEffectiveDate` IS NULL OR upper(trim(cast(`maritalStatusEffectiveDate` as string))) IN ('MM', 'DD', 'YYYY') /* schema:optional, valid:no_match, datafiles:match, db:column_match */ | baseline: `maritalStatusEffectiveDate` IS NULL OR (`maritalStatusEffectiveDate` RLIKE '^[0-9]{4}-(0[1-9]|1[0-2])-(0[1-9]|[12][0-9]|3[01])$')</t>
  </si>
  <si>
    <t>VAL-01026</t>
  </si>
  <si>
    <t>ERR-PER-01026</t>
  </si>
  <si>
    <t>maritalStatusEffectiveDate must be a valid calendar date in yyyy-MM-dd format.</t>
  </si>
  <si>
    <t>`maritalStatusEffectiveDate` IS NULL OR (`maritalStatusEffectiveDate` RLIKE '^[0-9]{4}-(0[1-9]|1[0-2])-(0[1-9]|[12][0-9]|3[01])$' AND to_date(`maritalStatusEffectiveDate`, 'yyyy-MM-dd') IS NOT NULL)</t>
  </si>
  <si>
    <t>`maritalStatusEffectiveDate` IS NULL OR to_date(cast(`maritalStatusEffectiveDate` as string), 'yyyy-MM-dd') IS NOT NULL /* schema:optional, valid:no_match, datafiles:match, db:column_match */ | baseline: `maritalStatusEffectiveDate` IS NULL OR (`maritalStatusEffectiveDate` RLIKE '^[0-9]{4}-(0[1-9]|1[0-2])-(0[1-9]|[12][0-9]|3[01])$' AND to_date(`maritalStatusEffectiveDate`, 'yyyy-MM</t>
  </si>
  <si>
    <t>VAL-01027</t>
  </si>
  <si>
    <t>ERR-PER-01027</t>
  </si>
  <si>
    <t>title</t>
  </si>
  <si>
    <t>`title` IS NULL OR (typeof(`title`) = 'string')</t>
  </si>
  <si>
    <t>`title` IS NULL OR cast(`title` as decimal(38,10)) IS NOT NULL /* schema:optional, valid:no_match, datafiles:match, db:column_match */ | baseline: `title` IS NULL OR (typeof(`title`) = 'string')</t>
  </si>
  <si>
    <t>01, 02, 03, 04</t>
  </si>
  <si>
    <t>VAL-01028</t>
  </si>
  <si>
    <t>ERR-PER-01028</t>
  </si>
  <si>
    <t>Values should be from the allowed list present in JSON</t>
  </si>
  <si>
    <t>title` IS NULL OR 'title' IN ('01','02','03','04')</t>
  </si>
  <si>
    <t>`title` IS NULL OR upper(trim(cast(`title` as string))) IN ('01', '02', '03', '04') /* schema:optional, valid:no_match, datafiles:match, db:column_match */ | baseline: title` IS NULL OR 'title' IN ('01','02','03','04')</t>
  </si>
  <si>
    <t>Reference : JSON Schema</t>
  </si>
  <si>
    <t>Field length must be &lt;= 2 characters/digits as defined in the workbook.</t>
  </si>
  <si>
    <t>`title` IS NULL OR (length(`title`) &lt;= 2)</t>
  </si>
  <si>
    <t>`title` IS NULL OR length(cast(`title` as string)) &lt;= 2 /* schema:optional, valid:no_match, datafiles:match, db:column_match */ | baseline: `title` IS NULL OR (length(`title`) &lt;= 2)</t>
  </si>
  <si>
    <t>This validation is already covered as it checks allowed values</t>
  </si>
  <si>
    <t>VAL-01029</t>
  </si>
  <si>
    <t>ERR-PER-01029</t>
  </si>
  <si>
    <t>languagePreference</t>
  </si>
  <si>
    <t>`languagePreference` IS NULL OR (typeof(`languagePreference`) = 'string')</t>
  </si>
  <si>
    <t>`languagePreference` IS NULL OR cast(`languagePreference` as decimal(38,10)) IS NOT NULL /* schema:optional, valid:no_match, datafiles:match, db:column_match */ | baseline: `languagePreference` IS NULL OR (typeof(`languagePreference`) = 'string')</t>
  </si>
  <si>
    <t>001, 002</t>
  </si>
  <si>
    <t>VAL-01030</t>
  </si>
  <si>
    <t>ERR-PER-01030</t>
  </si>
  <si>
    <t>languagepreference must be one of : "001",
        "002",</t>
  </si>
  <si>
    <t>`languagePreference` IS NULL OR (trim(`languagePreference`) in ("001",
        "002",))</t>
  </si>
  <si>
    <t>`languagePreference` IS NULL OR upper(trim(cast(`languagePreference` as string))) IN ('001', '002') /* schema:optional, valid:no_match, datafiles:match, db:column_match */ | baseline: `languagePreference` IS NULL OR (trim(`languagePreference`) in ("001",
        "002",))</t>
  </si>
  <si>
    <t>VAL-01031</t>
  </si>
  <si>
    <t>ERR-PER-01031</t>
  </si>
  <si>
    <t>suffix</t>
  </si>
  <si>
    <t>`suffix` IS NULL OR (typeof(`suffix`) = 'string')</t>
  </si>
  <si>
    <t>`suffix` IS NULL OR cast(`suffix` as decimal(38,10)) IS NOT NULL /* schema:optional, valid:no_match, datafiles:match, db:column_match */ | baseline: `suffix` IS NULL OR (typeof(`suffix`) = 'string')</t>
  </si>
  <si>
    <t>Jr.</t>
  </si>
  <si>
    <t>VAL-01032</t>
  </si>
  <si>
    <t>ERR-PER-01032</t>
  </si>
  <si>
    <t>suffix must not exceed 2 characters.</t>
  </si>
  <si>
    <t>`suffix` IS NULL OR (length(`suffix`) &lt;= 2)</t>
  </si>
  <si>
    <t>`suffix` IS NULL OR length(cast(`suffix` as string)) &lt;= 2 /* schema:optional, valid:no_match, datafiles:match, db:column_match */ | baseline: `suffix` IS NULL OR (length(`suffix`) &lt;= 2)</t>
  </si>
  <si>
    <t>VAL-01033</t>
  </si>
  <si>
    <t>ERR-PER-01033</t>
  </si>
  <si>
    <t>disabilityStatus</t>
  </si>
  <si>
    <t>Validate boolean/indicator value, normally Y/N unless a field-specific reference table says otherwise.</t>
  </si>
  <si>
    <t>`disabilityStatus` IS NULL OR (typeof(`disabilityStatus`) = 'boolean')</t>
  </si>
  <si>
    <t>`disabilityStatus` IS NULL OR upper(trim(cast(`disabilityStatus` as string))) IN ('Y','N','TRUE','FALSE','1','0') /* schema:optional, valid:no_match, datafiles:match, db:column_match */ | baseline: `disabilityStatus` IS NULL OR (typeof(`disabilityStatus`) = 'boolean')</t>
  </si>
  <si>
    <t>Y</t>
  </si>
  <si>
    <t>VAL-01034</t>
  </si>
  <si>
    <t>ERR-PER-01034</t>
  </si>
  <si>
    <t>`disabilityStatus` IS NULL OR length(cast(`disabilityStatus` as string)) &lt;= 1 /* schema:optional, valid:no_match, datafiles:match, db:column_match */</t>
  </si>
  <si>
    <t>Validation is not required as field is boolean</t>
  </si>
  <si>
    <t>VAL-01035</t>
  </si>
  <si>
    <t>ERR-PER-01035</t>
  </si>
  <si>
    <t>`disabilityStatus` IS NULL OR upper(trim(cast(`disabilityStatus` as string))) IN ('Y') /* schema:optional, valid:no_match, datafiles:match, db:column_match */ | baseline: `disabilityStatus` IS NULL OR (typeof(`disabilityStatus`) = 'boolean')</t>
  </si>
  <si>
    <t>VAL-01036</t>
  </si>
  <si>
    <t>ERR-PER-01036</t>
  </si>
  <si>
    <t>disabilityStatusEffectiveDate</t>
  </si>
  <si>
    <t>`disabilityStatusEffectiveDate` IS NULL OR (typeof(`disabilityStatusEffectiveDate`) = 'string')</t>
  </si>
  <si>
    <t>`disabilityStatusEffectiveDate` IS NULL OR to_date(cast(`disabilityStatusEffectiveDate` as string), 'MM/dd/yyyy') IS NOT NULL /* schema:optional, valid:no_match, datafiles:match, db:column_match */ | baseline: `disabilityStatusEffectiveDate` IS NULL OR (typeof(`disabilityStatusEffectiveDate`) = 'string')</t>
  </si>
  <si>
    <t>VAL-01037</t>
  </si>
  <si>
    <t>ERR-PER-01037</t>
  </si>
  <si>
    <t>`disabilityStatusEffectiveDate` IS NULL OR (length(`disabilityStatusEffectiveDate`) &lt;= 10)</t>
  </si>
  <si>
    <t>`disabilityStatusEffectiveDate` IS NULL OR length(cast(`disabilityStatusEffectiveDate` as string)) &lt;= 10 /* schema:optional, valid:no_match, datafiles:match, db:column_match */ | baseline: `disabilityStatusEffectiveDate` IS NULL OR (length(`disabilityStatusEffectiveDate`) &lt;= 10)</t>
  </si>
  <si>
    <t>VAL-01038</t>
  </si>
  <si>
    <t>ERR-PER-01038</t>
  </si>
  <si>
    <t>`disabilityStatusEffectiveDate` IS NULL OR (`disabilityStatusEffectiveDate` RLIKE '^[0-9]{4}-(0[1-9]|1[0-2])-(0[1-9]|[12][0-9]|3[01])$')</t>
  </si>
  <si>
    <t>`disabilityStatusEffectiveDate` IS NULL OR upper(trim(cast(`disabilityStatusEffectiveDate` as string))) IN ('MM', 'DD', 'YYYY') /* schema:optional, valid:no_match, datafiles:match, db:column_match */ | baseline: `disabilityStatusEffectiveDate` IS NULL OR (`disabilityStatusEffectiveDate` RLIKE '^[0-9]{4}-(0[1-9]|1[0-2])-(0[1-9]|[12][0-9]|3[01])$')</t>
  </si>
  <si>
    <t>VAL-01039</t>
  </si>
  <si>
    <t>ERR-PER-01039</t>
  </si>
  <si>
    <t>disabilityStatusEffectiveDate must be a valid calendar date in yyyy-MM-dd format.</t>
  </si>
  <si>
    <t>`disabilityStatusEffectiveDate` IS NULL OR (`disabilityStatusEffectiveDate` RLIKE '^[0-9]{4}-(0[1-9]|1[0-2])-(0[1-9]|[12][0-9]|3[01])$' AND to_date(`disabilityStatusEffectiveDate`, 'yyyy-MM-dd') IS NOT NULL)</t>
  </si>
  <si>
    <t>`disabilityStatusEffectiveDate` IS NULL OR to_date(cast(`disabilityStatusEffectiveDate` as string), 'yyyy-MM-dd') IS NOT NULL /* schema:optional, valid:no_match, datafiles:match, db:column_match */ | baseline: `disabilityStatusEffectiveDate` IS NULL OR (`disabilityStatusEffectiveDate` RLIKE '^[0-9]{4}-(0[1-9]|1[0-2])-(0[1-9]|[12][0-9]|3[01])$' AND to_date(`disabilityStatusEffectiveDate`,</t>
  </si>
  <si>
    <t>VAL-01040</t>
  </si>
  <si>
    <t>ERR-PER-01040</t>
  </si>
  <si>
    <t>veteranStatus</t>
  </si>
  <si>
    <t>`veteranStatus` IS NULL OR (typeof(`veteranStatus`) = 'boolean')</t>
  </si>
  <si>
    <t>`veteranStatus` IS NULL OR upper(trim(cast(`veteranStatus` as string))) IN ('Y','N','TRUE','FALSE','1','0') /* schema:optional, valid:no_match, datafiles:match, db:column_match */ | baseline: `veteranStatus` IS NULL OR (typeof(`veteranStatus`) = 'boolean')</t>
  </si>
  <si>
    <t>VAL-01041</t>
  </si>
  <si>
    <t>ERR-PER-01041</t>
  </si>
  <si>
    <t>`veteranStatus` IS NULL OR length(cast(`veteranStatus` as string)) &lt;= 1 /* schema:optional, valid:no_match, datafiles:match, db:column_match */</t>
  </si>
  <si>
    <t>VAL-01042</t>
  </si>
  <si>
    <t>ERR-PER-01042</t>
  </si>
  <si>
    <t>`veteranStatus` IS NULL OR upper(trim(cast(`veteranStatus` as string))) IN ('Y') /* schema:optional, valid:no_match, datafiles:match, db:column_match */ | baseline: `veteranStatus` IS NULL OR (typeof(`veteranStatus`) = 'boolean')</t>
  </si>
  <si>
    <t>VAL-01043</t>
  </si>
  <si>
    <t>ERR-PER-01043</t>
  </si>
  <si>
    <t>veteranStatusEffectiveDate</t>
  </si>
  <si>
    <t>`veteranStatusEffectiveDate` IS NULL OR (typeof(`veteranStatusEffectiveDate`) = 'string')</t>
  </si>
  <si>
    <t>`veteranStatusEffectiveDate` IS NULL OR to_date(cast(`veteranStatusEffectiveDate` as string), 'MM/dd/yyyy') IS NOT NULL /* schema:optional, valid:no_match, datafiles:match, db:column_match */ | baseline: `veteranStatusEffectiveDate` IS NULL OR (typeof(`veteranStatusEffectiveDate`) = 'string')</t>
  </si>
  <si>
    <t>VAL-01044</t>
  </si>
  <si>
    <t>ERR-PER-01044</t>
  </si>
  <si>
    <t>`veteranStatusEffectiveDate` IS NULL OR (length(`veteranStatusEffectiveDate`) &lt;= 10)</t>
  </si>
  <si>
    <t>`veteranStatusEffectiveDate` IS NULL OR length(cast(`veteranStatusEffectiveDate` as string)) &lt;= 10 /* schema:optional, valid:no_match, datafiles:match, db:column_match */ | baseline: `veteranStatusEffectiveDate` IS NULL OR (length(`veteranStatusEffectiveDate`) &lt;= 10)</t>
  </si>
  <si>
    <t>Validation not needed as it is DATE datatype</t>
  </si>
  <si>
    <t>VAL-01045</t>
  </si>
  <si>
    <t>ERR-PER-01045</t>
  </si>
  <si>
    <t>`veteranStatusEffectiveDate` IS NULL OR (`veteranStatusEffectiveDate` RLIKE '^[0-9]{4}-(0[1-9]|1[0-2])-(0[1-9]|[12][0-9]|3[01])$')</t>
  </si>
  <si>
    <t>`veteranStatusEffectiveDate` IS NULL OR upper(trim(cast(`veteranStatusEffectiveDate` as string))) IN ('MM', 'DD', 'YYYY') /* schema:optional, valid:no_match, datafiles:match, db:column_match */ | baseline: `veteranStatusEffectiveDate` IS NULL OR (`veteranStatusEffectiveDate` RLIKE '^[0-9]{4}-(0[1-9]|1[0-2])-(0[1-9]|[12][0-9]|3[01])$')</t>
  </si>
  <si>
    <t>VAL-01046</t>
  </si>
  <si>
    <t>ERR-PER-01046</t>
  </si>
  <si>
    <t>veteranStatusEffectiveDate must be a valid calendar date in yyyy-MM-dd format.</t>
  </si>
  <si>
    <t>`veteranStatusEffectiveDate` IS NULL OR (`veteranStatusEffectiveDate` RLIKE '^[0-9]{4}-(0[1-9]|1[0-2])-(0[1-9]|[12][0-9]|3[01])$' AND to_date(`veteranStatusEffectiveDate`, 'yyyy-MM-dd') IS NOT NULL)</t>
  </si>
  <si>
    <t>`veteranStatusEffectiveDate` IS NULL OR to_date(cast(`veteranStatusEffectiveDate` as string), 'yyyy-MM-dd') IS NOT NULL /* schema:optional, valid:no_match, datafiles:match, db:column_match */ | baseline: `veteranStatusEffectiveDate` IS NULL OR (`veteranStatusEffectiveDate` RLIKE '^[0-9]{4}-(0[1-9]|1[0-2])-(0[1-9]|[12][0-9]|3[01])$' AND to_date(`veteranStatusEffectiveDate`, 'yyyy-MM</t>
  </si>
  <si>
    <t>VAL-01047</t>
  </si>
  <si>
    <t>ERR-PER-01047</t>
  </si>
  <si>
    <t>medicareEligible</t>
  </si>
  <si>
    <t>`medicareEligible` IS NULL OR (typeof(`medicareEligible`) = 'boolean')</t>
  </si>
  <si>
    <t>`medicareEligible` IS NULL OR upper(trim(cast(`medicareEligible` as string))) IN ('Y','N','TRUE','FALSE','1','0') /* schema:optional, valid:no_match, datafiles:match, db:check_mapping */ | baseline: `medicareEligible` IS NULL OR (typeof(`medicareEligible`) = 'boolean')</t>
  </si>
  <si>
    <t>VAL-01048</t>
  </si>
  <si>
    <t>ERR-PER-01048</t>
  </si>
  <si>
    <t>UPPER(TRIM(CAST(`medicareEligible` AS STRING))) IN ('Y', 'N', 'TRUE', 'FALSE', 'T', 'F')</t>
  </si>
  <si>
    <t>`medicareEligible` IS NULL OR length(cast(`medicareEligible` as string)) &lt;= 1 /* schema:optional, valid:no_match, datafiles:match, db:check_mapping */ | baseline: UPPER(TRIM(CAST(`medicareEligible` AS STRING))) IN ('Y', 'N', 'TRUE', 'FALSE', 'T', 'F')</t>
  </si>
  <si>
    <t>VAL-01049</t>
  </si>
  <si>
    <t>ERR-PER-01049</t>
  </si>
  <si>
    <t>medicareEligDate</t>
  </si>
  <si>
    <t>`medicareEligDate` IS NULL OR (typeof(`medicareEligDate`) = 'string')</t>
  </si>
  <si>
    <t>`medicareEligDate` IS NULL OR to_date(cast(`medicareEligDate` as string), 'MM/dd/yyyy') IS NOT NULL /* schema:optional, valid:no_match, datafiles:match, db:check_mapping */ | baseline: `medicareEligDate` IS NULL OR (typeof(`medicareEligDate`) = 'string')</t>
  </si>
  <si>
    <t>VAL-01050</t>
  </si>
  <si>
    <t>ERR-PER-01050</t>
  </si>
  <si>
    <t>`medicareEligDate` IS NULL OR (length(`medicareEligDate`) &lt;= 10)</t>
  </si>
  <si>
    <t>`medicareEligDate` IS NULL OR length(cast(`medicareEligDate` as string)) &lt;= 10 /* schema:optional, valid:no_match, datafiles:match, db:check_mapping */ | baseline: `medicareEligDate` IS NULL OR (length(`medicareEligDate`) &lt;= 10)</t>
  </si>
  <si>
    <t>VAL-01051</t>
  </si>
  <si>
    <t>ERR-PER-01051</t>
  </si>
  <si>
    <t>medicareEligDate must be a valid calendar date in yyyy-MM-dd format.</t>
  </si>
  <si>
    <t>`medicareEligDate` IS NULL OR (`medicareEligDate` RLIKE '^[0-9]{4}-(0[1-9]|1[0-2])-(0[1-9]|[12][0-9]|3[01])$' AND to_date(`medicareEligDate`, 'yyyy-MM-dd') IS NOT NULL)</t>
  </si>
  <si>
    <t>`medicareEligDate` IS NULL OR to_date(cast(`medicareEligDate` as string), 'yyyy-MM-dd') IS NOT NULL /* schema:optional, valid:no_match, datafiles:match, db:check_mapping */ | baseline: `medicareEligDate` IS NULL OR (`medicareEligDate` RLIKE '^[0-9]{4}-(0[1-9]|1[0-2])-(0[1-9]|[12][0-9]|3[01])$' AND to_date(`medicareEligDate`, 'yyyy-MM-dd') IS NOT NULL)</t>
  </si>
  <si>
    <t>VAL-01052</t>
  </si>
  <si>
    <t>ERR-PER-01052</t>
  </si>
  <si>
    <t>primaryAddressType must have datatype string.</t>
  </si>
  <si>
    <t>`primaryAddressType` IS NULL OR typeof(`primaryAddressType`) = 'string'</t>
  </si>
  <si>
    <t>`primaryAddressType` IS NULL OR typeof(`primaryAddressType`) = 'string' /* schema:optional, valid:no_match, datafiles:match, db:column_match */</t>
  </si>
  <si>
    <t>VAL-01053</t>
  </si>
  <si>
    <t>ERR-PER-01053</t>
  </si>
  <si>
    <t>primaryAddressType length must not exceed 10 characters.</t>
  </si>
  <si>
    <t>length(`primaryAddressType`) &lt;= 1</t>
  </si>
  <si>
    <t>`primaryAddressType` IS NULL OR length(cast(`primaryAddressType` as string)) &lt;= 10 /* schema:optional, valid:no_match, datafiles:match, db:column_match */ | baseline: length(`primaryAddressType`) &lt;= 1</t>
  </si>
  <si>
    <t>Validation not required as it checks allowed values</t>
  </si>
  <si>
    <t>VAL-01054</t>
  </si>
  <si>
    <t>ERR-PER-01054</t>
  </si>
  <si>
    <t>primaryAddressType must be one of: H, W, A.</t>
  </si>
  <si>
    <t>`primaryAddressType` IS NULL OR (upper(trim(`primaryAddressType`)) IN ('H', 'W', 'A'))</t>
  </si>
  <si>
    <t>`primaryAddressType` IS NULL OR upper(trim(cast(`primaryAddressType` as string))) IN ('H', 'W', 'A') /* schema:optional, valid:no_match, datafiles:match, db:column_match */ | baseline: `primaryAddressType` IS NULL OR (upper(trim(`primaryAddressType`)) IN ('H', 'W', 'A'))</t>
  </si>
  <si>
    <t>VAL-01055</t>
  </si>
  <si>
    <t>ERR-PER-01055</t>
  </si>
  <si>
    <t>primaryPhoneType</t>
  </si>
  <si>
    <t>`primaryPhoneType` IS NULL OR (typeof(`primaryPhoneType`) = 'string')</t>
  </si>
  <si>
    <t>`primaryPhoneType` IS NULL OR typeof(`primaryPhoneType`) = 'string' /* schema:optional, valid:no_match, datafiles:match, db:check_mapping */ | baseline: `primaryPhoneType` IS NULL OR (typeof(`primaryPhoneType`) = 'string')</t>
  </si>
  <si>
    <t>VAL-01056</t>
  </si>
  <si>
    <t>ERR-PER-01056</t>
  </si>
  <si>
    <t>`primaryPhoneType` IS NULL OR (length(`primaryPhoneType`) &lt;= 1)</t>
  </si>
  <si>
    <t>`primaryPhoneType` IS NULL OR length(cast(`primaryPhoneType` as string)) &lt;= 1 /* schema:optional, valid:no_match, datafiles:match, db:check_mapping */ | baseline: `primaryPhoneType` IS NULL OR (length(`primaryPhoneType`) &lt;= 1)</t>
  </si>
  <si>
    <t>VAL-01057</t>
  </si>
  <si>
    <t>ERR-PER-01057</t>
  </si>
  <si>
    <t>primaryPhoneType must be one of: W, P, A.</t>
  </si>
  <si>
    <t>`primaryPhoneType` IS NULL OR (upper(trim(`primaryPhoneType`)) IN ('W', 'P', 'A'))</t>
  </si>
  <si>
    <t>`primaryPhoneType` IS NULL OR upper(trim(cast(`primaryPhoneType` as string))) IN ('W', 'P', 'A') /* schema:optional, valid:no_match, datafiles:match, db:check_mapping */ | baseline: `primaryPhoneType` IS NULL OR (upper(trim(`primaryPhoneType`)) IN ('W', 'P', 'A'))</t>
  </si>
  <si>
    <t>VAL-01058</t>
  </si>
  <si>
    <t>ERR-PER-01058</t>
  </si>
  <si>
    <t>primaryEmailType</t>
  </si>
  <si>
    <t>`primaryEmailType` IS NULL OR (typeof(`primaryEmailType`) = 'string')</t>
  </si>
  <si>
    <t>`primaryEmailType` IS NULL OR typeof(`primaryEmailType`) = 'string' /* schema:optional, valid:no_match, datafiles:match, db:column_match */ | baseline: `primaryEmailType` IS NULL OR (typeof(`primaryEmailType`) = 'string')</t>
  </si>
  <si>
    <t>VAL-01059</t>
  </si>
  <si>
    <t>ERR-PER-01059</t>
  </si>
  <si>
    <t>`primaryEmailType` IS NULL OR (length(`primaryEmailType`) &lt;= 1)</t>
  </si>
  <si>
    <t>`primaryEmailType` IS NULL OR length(cast(`primaryEmailType` as string)) &lt;= 1 /* schema:optional, valid:no_match, datafiles:match, db:column_match */ | baseline: `primaryEmailType` IS NULL OR (length(`primaryEmailType`) &lt;= 1)</t>
  </si>
  <si>
    <t>VAL-01060</t>
  </si>
  <si>
    <t>ERR-PER-01060</t>
  </si>
  <si>
    <t>primaryEmailType must be one of: W, P, A.</t>
  </si>
  <si>
    <t>`primaryEmailType` IS NULL OR (upper(trim(`primaryEmailType`)) IN ('W', 'P', 'A'))</t>
  </si>
  <si>
    <t>`primaryEmailType` IS NULL OR upper(trim(cast(`primaryEmailType` as string))) IN ('W', 'P', 'A') /* schema:optional, valid:no_match, datafiles:match, db:column_match */ | baseline: `primaryEmailType` IS NULL OR (upper(trim(`primaryEmailType`)) IN ('W', 'P', 'A'))</t>
  </si>
  <si>
    <t>VAL-01061</t>
  </si>
  <si>
    <t>ERR-PER-01061</t>
  </si>
  <si>
    <t>preferredCommunication</t>
  </si>
  <si>
    <t>`preferredCommunication` IS NULL OR (typeof(`preferredCommunication`) = 'string')</t>
  </si>
  <si>
    <t>`preferredCommunication` IS NULL OR typeof(`preferredCommunication`) = 'string' /* schema:optional, valid:no_match, datafiles:match, db:column_match */ | baseline: `preferredCommunication` IS NULL OR (typeof(`preferredCommunication`) = 'string')</t>
  </si>
  <si>
    <t>E, P</t>
  </si>
  <si>
    <t>VAL-01062</t>
  </si>
  <si>
    <t>ERR-PER-01062</t>
  </si>
  <si>
    <t>`preferredCommunication` IS NULL OR (length(`preferredCommunication`) &lt;= 1)</t>
  </si>
  <si>
    <t>`preferredCommunication` IS NULL OR length(cast(`preferredCommunication` as string)) &lt;= 1 /* schema:optional, valid:no_match, datafiles:match, db:column_match */ | baseline: `preferredCommunication` IS NULL OR (length(`preferredCommunication`) &lt;= 1)</t>
  </si>
  <si>
    <t>Validation not required as it checks the allowed values</t>
  </si>
  <si>
    <t>Validate against the allowed list of values in Json schema</t>
  </si>
  <si>
    <t>`preferredCommunication` IS NULL OR (upper(trim(`preferredCommunication`) ) IN (E, P))</t>
  </si>
  <si>
    <t>`preferredCommunication` IS NULL OR upper(trim(cast(`preferredCommunication` as string))) IN ('E', 'P') /* schema:optional, valid:no_match, datafiles:match, db:column_match */ | baseline: `preferredCommunication` IS NULL OR (upper(trim(`preferredCommunication`) ) IN (E, P))</t>
  </si>
  <si>
    <t>VAL-01063</t>
  </si>
  <si>
    <t>ERR-PER-01063</t>
  </si>
  <si>
    <t>addresses[].addressType</t>
  </si>
  <si>
    <t>`addresses` IS NULL OR forall(`addresses`, address_item -&gt; (address_item.`addressType` IS NULL OR (typeof(address_item.`addressType`) = 'string')))</t>
  </si>
  <si>
    <t>`addresses[].addressType` IS NULL OR typeof(`addresses[].addressType`) = 'string' /* schema:unmapped, valid:no_match, datafiles:match, db:column_match */ | baseline: `addresses` IS NULL OR forall(`addresses`, address_item -&gt; (address_item.`addressType` IS NULL OR (typeof(address_item.`addressType`) = 'string')))</t>
  </si>
  <si>
    <t>VAL-03003: Addresses[].Street Address must have datatype string.</t>
  </si>
  <si>
    <t>VAL-01064</t>
  </si>
  <si>
    <t>ERR-PER-01064</t>
  </si>
  <si>
    <t>`addresses[].addressType` IS NULL OR length(cast(`addresses[].addressType` as string)) &lt;= 1 /* schema:unmapped, valid:no_match, datafiles:match, db:column_match */ | baseline: see above</t>
  </si>
  <si>
    <t>VAL-03004: addresses[].streetAddress must not exceed 200 characters.</t>
  </si>
  <si>
    <t>VAL-01065</t>
  </si>
  <si>
    <t>ERR-PER-01065</t>
  </si>
  <si>
    <t>addressType = W,H or A.</t>
  </si>
  <si>
    <t>`addresses` IS NULL OR forall(`addresses`, address_item -&gt; (address_item.`addressType` IS NULL OR (upper(trim(address_item.`addressType`)) IN ('H', 'W', 'A'))))</t>
  </si>
  <si>
    <t>`addresses[].addressType` IS NULL OR upper(trim(cast(`addresses[].addressType` as string))) IN ('H', 'W', 'A') /* schema:unmapped, valid:no_match, datafiles:match, db:column_match */ | baseline: `addresses` IS NULL OR forall(`addresses`, address_item -&gt; (address_item.`addressType` IS NULL OR (upper(trim(address_item.`addressType`)) IN ('H', 'W', 'A'))))</t>
  </si>
  <si>
    <t>VAL-01066</t>
  </si>
  <si>
    <t>ERR-PER-01066</t>
  </si>
  <si>
    <t>Validate numeric/decimal format; reject non-numeric characters except allowed decimal/sign characters.
Duplicate rule see line 11.</t>
  </si>
  <si>
    <t xml:space="preserve">`addresses[].streetAddress` IS NULL OR cast(`addresses[].streetAddress` as decimal(38,10)) IS NOT NULL /* schema:unmapped, valid:no_match, datafiles:match, db:column_match */ | baseline: `addresses` IS NOT NULL
AND size(`addresses`) &gt; 0
AND forall(
  `addresses`,
  address_item -&gt;
    address_item.`streetAddress` IS NULL
    OR trim(address_item.`streetAddress`) = </t>
  </si>
  <si>
    <t>Duplicate entry</t>
  </si>
  <si>
    <t>123 Centre St</t>
  </si>
  <si>
    <t>VAL-01067</t>
  </si>
  <si>
    <t>ERR-PER-01067</t>
  </si>
  <si>
    <t>addresses[].streetAddress must not exceed 200 characters.
Duplicate rule see line 11.</t>
  </si>
  <si>
    <t>`addresses[].streetAddress` IS NULL OR length(cast(`addresses[].streetAddress` as string)) &lt;= 200 /* schema:unmapped, valid:no_match, datafiles:match, db:column_match */ | baseline: see above</t>
  </si>
  <si>
    <t>VAL-02997: Addresses[].City must have datatype string.</t>
  </si>
  <si>
    <t>VAL-01068</t>
  </si>
  <si>
    <t>ERR-PER-01068</t>
  </si>
  <si>
    <t>addresses[].addressLine2</t>
  </si>
  <si>
    <t>`addresses` IS NULL OR forall(`addresses`, address_item -&gt; (address_item.`addressLine2` IS NULL OR (typeof(address_item.`addressLine2`) = 'string')))</t>
  </si>
  <si>
    <t>`addresses[].addressLine2` IS NULL OR cast(`addresses[].addressLine2` as decimal(38,10)) IS NOT NULL /* schema:unmapped, valid:no_match, datafiles:check, db:column_match */ | baseline: `addresses` IS NULL OR forall(`addresses`, address_item -&gt; (address_item.`addressLine2` IS NULL OR (typeof(address_item.`addressLine2`) = 'string')))</t>
  </si>
  <si>
    <t>Apt #135</t>
  </si>
  <si>
    <t>VAL-02998: addresses[].city must not exceed 50 characters.</t>
  </si>
  <si>
    <t>VAL-01069</t>
  </si>
  <si>
    <t>ERR-PER-01069</t>
  </si>
  <si>
    <t>addresses[].addressLine2 must not exceed 200 characters.</t>
  </si>
  <si>
    <t>`addresses` IS NULL OR forall(`addresses`, address_item -&gt; (address_item.`addressLine2` IS NULL OR (length(address_item.`addressLine2`) &lt;= 200)))</t>
  </si>
  <si>
    <t>`addresses[].addressLine2` IS NULL OR length(cast(`addresses[].addressLine2` as string)) &lt;= 200 /* schema:unmapped, valid:no_match, datafiles:check, db:column_match */ | baseline: `addresses` IS NULL OR forall(`addresses`, address_item -&gt; (address_item.`addressLine2` IS NULL OR (length(address_item.`addressLine2`) &lt;= 200)))</t>
  </si>
  <si>
    <t>VAL-03001: Addresses[].State must have datatype string.</t>
  </si>
  <si>
    <t>VAL-01070</t>
  </si>
  <si>
    <t>ERR-PER-01070</t>
  </si>
  <si>
    <t>Validate numeric/decimal format; reject non-numeric characters except allowed decimal/sign characters.
Duplicate rule see line 12.</t>
  </si>
  <si>
    <t>`addresses[].city` IS NULL OR cast(`addresses[].city` as decimal(38,10)) IS NOT NULL /* schema:unmapped, valid:no_match, datafiles:match, db:column_match */ | baseline: `addresses` IS NOT NULL
AND size(`addresses`) &gt; 0
AND forall(
  `addresses`,
  address_item -&gt;
    address_item.`city` IS NOT NULL
    AND trim(address_item.`city`) &lt;&gt; ''
    AND o</t>
  </si>
  <si>
    <t>Boston</t>
  </si>
  <si>
    <t>VAL-03002: addresses[].state must not exceed 4 characters.</t>
  </si>
  <si>
    <t>VAL-01071</t>
  </si>
  <si>
    <t>ERR-PER-01071</t>
  </si>
  <si>
    <t>addresses[].city must not exceed 50 characters.
Duplicate rule see line 12.</t>
  </si>
  <si>
    <t>`addresses[].city` IS NULL OR length(cast(`addresses[].city` as string)) &lt;= 50 /* schema:unmapped, valid:no_match, datafiles:match, db:column_match */ | baseline: see above</t>
  </si>
  <si>
    <t>VAL-01072</t>
  </si>
  <si>
    <t>ERR-PER-01072</t>
  </si>
  <si>
    <t>Validate numeric/decimal format; reject non-numeric characters except allowed decimal/sign characters.
Duplicate see line 13.</t>
  </si>
  <si>
    <t>`addresses[].state` IS NULL OR cast(`addresses[].state` as decimal(38,10)) IS NOT NULL /* schema:unmapped, valid:no_match, datafiles:match, db:column_match */ | baseline: `addresses` IS NOT NULL
AND size(`addresses`) &gt; 0
AND forall(
  `addresses`,
  address_item -&gt;
    address_item.`state` IS NOT NULL
    AND trim(address_item.`state`) &lt;&gt; ''
    AND</t>
  </si>
  <si>
    <t>MA</t>
  </si>
  <si>
    <t>VAL-03005: Addresses[].Zip Code must have datatype string.</t>
  </si>
  <si>
    <t>VAL-01073</t>
  </si>
  <si>
    <t>ERR-PER-01073</t>
  </si>
  <si>
    <t>addresses[].state must not exceed 4 characters.
State should be in reference table (2 bytes).  Duplicate see line 13.</t>
  </si>
  <si>
    <t>`addresses[].state` IS NULL OR length(cast(`addresses[].state` as string)) &lt;= 4 /* schema:unmapped, valid:no_match, datafiles:match, db:column_match */ | baseline: see above</t>
  </si>
  <si>
    <t>VAL-03006: addresses[].zipCode must not exceed 10 characters.</t>
  </si>
  <si>
    <t>VAL-01074</t>
  </si>
  <si>
    <t>ERR-PER-01074</t>
  </si>
  <si>
    <t>SELECT x.* FROM admin_pglogical.reference_data x
WHERE reference_type = 'State';</t>
  </si>
  <si>
    <t>`addresses[].state` IS NULL OR upper(trim(cast(`addresses[].state` as string))) IN ('MA') /* schema:unmapped, valid:no_match, datafiles:match, db:column_match */ | baseline: see above</t>
  </si>
  <si>
    <t>CUSTOM LOGIC</t>
  </si>
  <si>
    <t> VALIDATED</t>
  </si>
  <si>
    <t>Approved allowed values are not supplied in the JSON schema or in a definitive product rule. Need reference table details</t>
  </si>
  <si>
    <t>VAL-01075</t>
  </si>
  <si>
    <t>ERR-PER-01075</t>
  </si>
  <si>
    <t>Validate numeric/decimal format; reject non-numeric characters except allowed decimal/sign characters.
We should create a zip reference table to validate against?
If we use a reference table we do not need structural validation.
Duplicate see row 14.</t>
  </si>
  <si>
    <t>"`addresses` IS NOT NULL
AND size(`addresses`) &gt; 0
AND forall(
  `addresses`,
  address_item -&gt;
    address_item.`zipCode` IS NOT NULL
    AND trim(address_item.`zipCode`) &lt;&gt; ''
    AND trim(address_item.`zipCode`) IN (
      SELECT trim(`zip_code`)
      FROM `zip_reference`
      WHERE `zip_code` IS NOT NULL
    )
)"</t>
  </si>
  <si>
    <t xml:space="preserve">`addresses[].zipCode` IS NULL OR cast(`addresses[].zipCode` as decimal(38,10)) IS NOT NULL /* schema:unmapped, valid:no_match, datafiles:match, db:column_match */ | baseline: "`addresses` IS NOT NULL
AND size(`addresses`) &gt; 0
AND forall(
  `addresses`,
  address_item -&gt;
    address_item.`zipCode` IS NOT NULL
    AND trim(address_item.`zipCode`) &lt;&gt; ''
  </t>
  </si>
  <si>
    <t>VAL-01076</t>
  </si>
  <si>
    <t>ERR-PER-01076</t>
  </si>
  <si>
    <t>addresses[].zipCode must not exceed 10 characters.</t>
  </si>
  <si>
    <t>`addresses[].zipCode` IS NULL OR length(cast(`addresses[].zipCode` as string)) &lt;= 10 /* schema:unmapped, valid:no_match, datafiles:match, db:column_match */ | baseline: see above</t>
  </si>
  <si>
    <t>VAL-01077</t>
  </si>
  <si>
    <t>ERR-PER-01077</t>
  </si>
  <si>
    <t>`addresses[].zipCode` IS NULL OR upper(trim(cast(`addresses[].zipCode` as string))) IN ('02156') /* schema:unmapped, valid:no_match, datafiles:match, db:column_match */ | baseline: see above</t>
  </si>
  <si>
    <t>VAL-01078</t>
  </si>
  <si>
    <t>ERR-PER-01078</t>
  </si>
  <si>
    <t>addresses[].foreignAddressLine</t>
  </si>
  <si>
    <t>`addresses` IS NULL OR forall(`addresses`, address_item -&gt; (address_item.`foreignAddressLine` IS NULL OR (typeof(address_item.`foreignAddressLine`) = 'string')))</t>
  </si>
  <si>
    <t>`addresses[].foreignAddressLine` IS NULL OR cast(`addresses[].foreignAddressLine` as decimal(38,10)) IS NOT NULL /* schema:unmapped, valid:no_match, datafiles:match, db:column_match */ | baseline: `addresses` IS NULL OR forall(`addresses`, address_item -&gt; (address_item.`foreignAddressLine` IS NULL OR (typeof(address_item.`foreignAddressLine`) = 'string')))</t>
  </si>
  <si>
    <t>≤ 500 characters</t>
  </si>
  <si>
    <t>VAL-01079</t>
  </si>
  <si>
    <t>ERR-PER-01079</t>
  </si>
  <si>
    <t>addresses[].foreignAddressLine must not exceed 500 characters.</t>
  </si>
  <si>
    <t>`addresses` IS NULL OR forall(`addresses`, address_item -&gt; (address_item.`foreignAddressLine` IS NULL OR (length(address_item.`foreignAddressLine`) &lt;= 500)))</t>
  </si>
  <si>
    <t>`addresses[].foreignAddressLine` IS NULL OR length(cast(`addresses[].foreignAddressLine` as string)) &lt;= 500 /* schema:unmapped, valid:no_match, datafiles:match, db:column_match */ | baseline: `addresses` IS NULL OR forall(`addresses`, address_item -&gt; (address_item.`foreignAddressLine` IS NULL OR (length(address_item.`foreignAddressLine`) &lt;= 500)))</t>
  </si>
  <si>
    <t>VAL-01080</t>
  </si>
  <si>
    <t>ERR-PER-01080</t>
  </si>
  <si>
    <t>`addresses[].foreignAddressLine` IS NULL OR trim(cast(`addresses[].foreignAddressLine` as string)) &lt;&gt; '' /* schema:unmapped, valid:no_match, datafiles:match, db:column_match */</t>
  </si>
  <si>
    <t>VAL-02999: Addresses[].Country must have datatype string.</t>
  </si>
  <si>
    <t>VAL-01081</t>
  </si>
  <si>
    <t>ERR-PER-01081</t>
  </si>
  <si>
    <t>addresses[].county</t>
  </si>
  <si>
    <t>Validate numeric/decimal format; reject non-numeric characters except allowed decimal/sign characters.
We should create a country reference table to validate against?
If we use a reference table we do not need structural validation.
Duplicate see row 15.</t>
  </si>
  <si>
    <t>`addresses` IS NULL OR forall(`addresses`, address_item -&gt; (address_item.`county` IS NULL OR (typeof(address_item.`county`) = 'string')))</t>
  </si>
  <si>
    <t>`addresses[].county` IS NULL OR cast(`addresses[].county` as decimal(38,10)) IS NOT NULL /* schema:unmapped, valid:no_match, datafiles:match, db:column_match */ | baseline: `addresses` IS NULL OR forall(`addresses`, address_item -&gt; (address_item.`county` IS NULL OR (typeof(address_item.`county`) = 'string')))</t>
  </si>
  <si>
    <t>VAL-03000: addresses[].country must not exceed 2 characters.</t>
  </si>
  <si>
    <t>VAL-01082</t>
  </si>
  <si>
    <t>ERR-PER-01082</t>
  </si>
  <si>
    <t>addresses[].county must not exceed 4 characters.</t>
  </si>
  <si>
    <t>`addresses` IS NULL OR forall(`addresses`, address_item -&gt; (address_item.`county` IS NULL OR (length(address_item.`county`) &lt;= 4)))</t>
  </si>
  <si>
    <t>`addresses[].county` IS NULL OR length(cast(`addresses[].county` as string)) &lt;= 4 /* schema:unmapped, valid:no_match, datafiles:match, db:column_match */ | baseline: `addresses` IS NULL OR forall(`addresses`, address_item -&gt; (address_item.`county` IS NULL OR (length(address_item.`county`) &lt;= 4)))</t>
  </si>
  <si>
    <t>VAL-01083</t>
  </si>
  <si>
    <t>ERR-PER-01083</t>
  </si>
  <si>
    <t>`addresses[].country` IS NULL OR typeof(`addresses[].country`) = 'string' /* schema:unmapped, valid:no_match, datafiles:match, db:column_match */ | baseline: see above</t>
  </si>
  <si>
    <t>VAL-03009: Emails[].Email Type must have datatype string when emails_present.</t>
  </si>
  <si>
    <t>VAL-01084</t>
  </si>
  <si>
    <t>ERR-PER-01084</t>
  </si>
  <si>
    <t>addresses[].country must not exceed 2 characters.</t>
  </si>
  <si>
    <t>`addresses[].country` IS NULL OR length(cast(`addresses[].country` as string)) &lt;= 2 /* schema:unmapped, valid:no_match, datafiles:match, db:column_match */ | baseline: see above</t>
  </si>
  <si>
    <t>VAL-01085</t>
  </si>
  <si>
    <t>ERR-PER-01085</t>
  </si>
  <si>
    <t>SELECT x.* FROM admin_pglogical.reference_data x
WHERE reference_type = 'Country';</t>
  </si>
  <si>
    <t xml:space="preserve">`addresses[].country` IS NULL OR trim(cast(`addresses[].country` as string)) &lt;&gt; '' /* schema:unmapped, valid:no_match, datafiles:match, db:column_match */ | baseline: "`addresses` IS NOT NULL
AND size(`addresses`) &gt; 0
AND forall(
  `addresses`,
  address_item -&gt;
    address_item.`country` IS NOT NULL
    AND trim(address_item.`country`) &lt;&gt; ''
  </t>
  </si>
  <si>
    <t>Question for Dibyendu : We should create a country reference table to validate against?
If we use a reference table we do not need structural validation.</t>
  </si>
  <si>
    <t>VAL-03010: emails[].emailType must be one of: W, P, A.</t>
  </si>
  <si>
    <t>VAL-01132</t>
  </si>
  <si>
    <t>ERR-PER-01132</t>
  </si>
  <si>
    <t>Validate alphabetic uppercase code/value.
Duplicate see row 16.</t>
  </si>
  <si>
    <t>`emails` IS NULL OR forall(`emails`, email_item -&gt; (email_item.`emailType` IS NULL OR (typeof(email_item.`emailType`) = 'string')))</t>
  </si>
  <si>
    <t>`emails[].emailType` IS NULL OR typeof(`emails[].emailType`) = 'string' /* schema:unmapped, valid:no_match, datafiles:match, db:column_match */ | baseline: `emails` IS NULL OR forall(`emails`, email_item -&gt; (email_item.`emailType` IS NULL OR (typeof(email_item.`emailType`) = 'string')))</t>
  </si>
  <si>
    <t>VAL-03007: Emails[].Email must have datatype email when emails_present.</t>
  </si>
  <si>
    <t>VAL-01133</t>
  </si>
  <si>
    <t>ERR-PER-01133</t>
  </si>
  <si>
    <t>`emails[].emailType` IS NULL OR length(cast(`emails[].emailType` as string)) &lt;= 1 /* schema:unmapped, valid:no_match, datafiles:match, db:column_match */ | baseline: see above</t>
  </si>
  <si>
    <t>VAL-03008: emails[].email must not exceed 254 characters.</t>
  </si>
  <si>
    <t>VAL-01134</t>
  </si>
  <si>
    <t>ERR-PER-01134</t>
  </si>
  <si>
    <t>emails[].emailType must be one of: W, P, A.</t>
  </si>
  <si>
    <t>`emails` IS NULL OR forall(`emails`, email_item -&gt; (email_item.`emailType` IS NULL OR (upper(trim(email_item.`emailType`)) IN ('W', 'P', 'A'))))</t>
  </si>
  <si>
    <t>`emails[].emailType` IS NULL OR upper(trim(cast(`emails[].emailType` as string))) IN ('W', 'P', 'A') /* schema:unmapped, valid:no_match, datafiles:match, db:column_match */ | baseline: `emails` IS NULL OR forall(`emails`, email_item -&gt; (email_item.`emailType` IS NULL OR (upper(trim(email_item.`emailType`)) IN ('W', 'P', 'A'))))</t>
  </si>
  <si>
    <t>VAL-01135</t>
  </si>
  <si>
    <t>ERR-PER-01135</t>
  </si>
  <si>
    <t>Validate email syntax and reject unsafe/invalid email strings.
Duplicate see line 17.</t>
  </si>
  <si>
    <t>`emails[].email` IS NULL OR typeof(`emails[].email`) = 'string' /* schema:unmapped, valid:no_match, datafiles:match, db:check_mapping */ | baseline: `emails` IS NULL
OR forall(
  `emails`,
  email_item -&gt;
    email_item.`emailAddress` IS NOT NULL
    AND trim(email_item.`emailAddress`) &lt;&gt; ''
    AND trim(email_item.`emailAddres</t>
  </si>
  <si>
    <t>amc@gmail.com</t>
  </si>
  <si>
    <t>VAL-01136</t>
  </si>
  <si>
    <t>ERR-PER-01136</t>
  </si>
  <si>
    <t>EMAIL_FORMAT</t>
  </si>
  <si>
    <t>emails[].email must be in correct format.</t>
  </si>
  <si>
    <t>`emails[].email` IS NULL
OR `emails[].email` RLIKE '^[A-Za-z0-9.!#$%&amp;''*+/=?^_`{|}~-]+@[A-Za-z0-9-]+(\\.[A-Za-z0-9-]+)+$'</t>
  </si>
  <si>
    <t>`emails[].email` IS NULL
OR `emails[].email` RLIKE '^[A-Za-z0-9.!#$%&amp;''*+/=?^_`{|}~-]+@[A-Za-z0-9-]+(\\.[A-Za-z0-9-]+)+$' /* schema:unmapped, valid:no_match, datafiles:match, db:check_mapping */</t>
  </si>
  <si>
    <t>VAL-01153</t>
  </si>
  <si>
    <t>ERR-PER-01153</t>
  </si>
  <si>
    <t>phones[].phoneType</t>
  </si>
  <si>
    <t>`phones` IS NULL OR forall(`phones`, phone_item -&gt; (phone_item.`phoneType` IS NULL OR (typeof(phone_item.`phoneType`) = 'string')))</t>
  </si>
  <si>
    <t>`phones[].phoneType` IS NULL OR typeof(`phones[].phoneType`) = 'string' /* schema:unmapped, valid:no_match, datafiles:match, db:check_mapping */ | baseline: `phones` IS NULL OR forall(`phones`, phone_item -&gt; (phone_item.`phoneType` IS NULL OR (typeof(phone_item.`phoneType`) = 'string')))</t>
  </si>
  <si>
    <t>VAL-01154</t>
  </si>
  <si>
    <t>ERR-PER-01154</t>
  </si>
  <si>
    <t>`phones` IS NULL OR forall(`phones`, phone_item -&gt; (phone_item.`phoneType` IS NULL OR (length(phone_item.`phoneType`) &lt;= 1)))</t>
  </si>
  <si>
    <t>`phones[].phoneType` IS NULL OR length(cast(`phones[].phoneType` as string)) &lt;= 1 /* schema:unmapped, valid:no_match, datafiles:match, db:check_mapping */ | baseline: `phones` IS NULL OR forall(`phones`, phone_item -&gt; (phone_item.`phoneType` IS NULL OR (length(phone_item.`phoneType`) &lt;= 1)))</t>
  </si>
  <si>
    <t>VAL-01155</t>
  </si>
  <si>
    <t>ERR-PER-01155</t>
  </si>
  <si>
    <t>phones[].phoneType must be one of: W, P, A.</t>
  </si>
  <si>
    <t>`phones` IS NULL OR forall(`phones`, phone_item -&gt; (phone_item.`phoneType` IS NULL OR (upper(trim(phone_item.`phoneType`)) IN ('W', 'P', 'A'))))</t>
  </si>
  <si>
    <t>`phones[].phoneType` IS NULL OR upper(trim(cast(`phones[].phoneType` as string))) IN ('W', 'P', 'A') /* schema:unmapped, valid:no_match, datafiles:match, db:check_mapping */ | baseline: `phones` IS NULL OR forall(`phones`, phone_item -&gt; (phone_item.`phoneType` IS NULL OR (upper(trim(phone_item.`phoneType`)) IN ('W', 'P', 'A'))))</t>
  </si>
  <si>
    <t>VAL-01156</t>
  </si>
  <si>
    <t>ERR-PER-01156</t>
  </si>
  <si>
    <t>phones[].countryCode</t>
  </si>
  <si>
    <t>`phones` IS NULL OR forall(`phones`, phone_item -&gt; (phone_item.`countryCode` IS NULL OR (typeof(phone_item.`countryCode`) = 'string')))</t>
  </si>
  <si>
    <t>`phones[].countryCode` IS NULL OR cast(`phones[].countryCode` as decimal(38,10)) IS NOT NULL /* schema:unmapped, valid:no_match, datafiles:match, db:column_match */ | baseline: `phones` IS NULL OR forall(`phones`, phone_item -&gt; (phone_item.`countryCode` IS NULL OR (typeof(phone_item.`countryCode`) = 'string')))</t>
  </si>
  <si>
    <t>≤ 6 characters</t>
  </si>
  <si>
    <t>VAL-03011: Phones[].Phone Number must have datatype string when phones_present.</t>
  </si>
  <si>
    <t>VAL-01157</t>
  </si>
  <si>
    <t>ERR-PER-01157</t>
  </si>
  <si>
    <t>phones[].countryCode must not exceed 6 characters.</t>
  </si>
  <si>
    <t>`phones` IS NULL OR forall(`phones`, phone_item -&gt; (phone_item.`countryCode` IS NULL OR (length(phone_item.`countryCode`) &lt;= 6)))</t>
  </si>
  <si>
    <t>`phones[].countryCode` IS NULL OR length(cast(`phones[].countryCode` as string)) &lt;= 6 /* schema:unmapped, valid:no_match, datafiles:match, db:column_match */ | baseline: `phones` IS NULL OR forall(`phones`, phone_item -&gt; (phone_item.`countryCode` IS NULL OR (length(phone_item.`countryCode`) &lt;= 6)))</t>
  </si>
  <si>
    <t>VAL-03012: phones[].phoneNumber must not exceed 15 characters.</t>
  </si>
  <si>
    <t>VAL-01158</t>
  </si>
  <si>
    <t>ERR-PER-01158</t>
  </si>
  <si>
    <t> SELECT x.* FROM admin_pglogical.reference_data x
WHERE reference_type = 'CountryCode';</t>
  </si>
  <si>
    <t>`phones[].countryCode` IS NULL OR upper(trim(cast(`phones[].countryCode` as string))) IN ('+1') /* schema:unmapped, valid:no_match, datafiles:match, db:column_match */</t>
  </si>
  <si>
    <t>VAL-01159</t>
  </si>
  <si>
    <t>ERR-PER-01159</t>
  </si>
  <si>
    <t>Validate phone number format; preserve leading zeroes and extension-sensitive characters.</t>
  </si>
  <si>
    <t>`phones` IS NULL OR forall(`phones`, phone_item -&gt; (phone_item.`phoneNumber` IS NULL OR (typeof(phone_item.`phoneNumber`) = 'string')))</t>
  </si>
  <si>
    <t>`phones[].phoneNumber` IS NULL OR cast(`phones[].phoneNumber` as decimal(38,10)) IS NOT NULL /* schema:unmapped, valid:no_match, datafiles:match, db:column_match */ | baseline: `phones` IS NULL OR forall(`phones`, phone_item -&gt; (phone_item.`phoneNumber` IS NULL OR (typeof(phone_item.`phoneNumber`) = 'string')))</t>
  </si>
  <si>
    <t>124-575-5878</t>
  </si>
  <si>
    <t>VAL-01160</t>
  </si>
  <si>
    <t>ERR-PER-01160</t>
  </si>
  <si>
    <t>phones[].phoneNumber must not exceed 15 characters.</t>
  </si>
  <si>
    <t>`phones` IS NULL OR forall(`phones`, phone_item -&gt; (phone_item.`phoneNumber` IS NULL OR (length(phone_item.`phoneNumber`) &lt;= 15)))</t>
  </si>
  <si>
    <t>`phones[].phoneNumber` IS NULL OR length(cast(`phones[].phoneNumber` as string)) &lt;= 15 /* schema:unmapped, valid:no_match, datafiles:match, db:column_match */ | baseline: `phones` IS NULL OR forall(`phones`, phone_item -&gt; (phone_item.`phoneNumber` IS NULL OR (length(phone_item.`phoneNumber`) &lt;= 15)))</t>
  </si>
  <si>
    <t>VAL-01183</t>
  </si>
  <si>
    <t>ERR-PER-01183</t>
  </si>
  <si>
    <t>employeeUniqueId</t>
  </si>
  <si>
    <t>employeeUniqueId is required and must not be blank.</t>
  </si>
  <si>
    <t>`employeeUniqueId` IS NOT NULL AND trim(`employeeUniqueId`) &lt;&gt; ''</t>
  </si>
  <si>
    <t>`employeeUniqueId` IS NOT NULL AND trim(cast(`employeeUniqueId` as string)) &lt;&gt; '' /* schema:required, valid:no_match, datafiles:check, db:column_match */ | baseline: `employeeUniqueId` IS NOT NULL AND trim(`employeeUniqueId`) &lt;&gt; ''</t>
  </si>
  <si>
    <t>VAL-01184</t>
  </si>
  <si>
    <t>ERR-PER-01184</t>
  </si>
  <si>
    <t>`employeeUniqueId` IS NULL OR (typeof(`employeeUniqueId`) = 'string')</t>
  </si>
  <si>
    <t>`employeeUniqueId` IS NULL OR cast(`employeeUniqueId` as decimal(38,10)) IS NOT NULL /* schema:required, valid:no_match, datafiles:check, db:column_match */ | baseline: `employeeUniqueId` IS NULL OR (typeof(`employeeUniqueId`) = 'string')</t>
  </si>
  <si>
    <t>VAL-01185</t>
  </si>
  <si>
    <t>ERR-PER-01185</t>
  </si>
  <si>
    <t>employeeUniqueId must match the json pattern</t>
  </si>
  <si>
    <t>`employeeUniqueId` RLIKE "^[A-Za-z0-9._:-]{1,64}$"</t>
  </si>
  <si>
    <t>`employeeUniqueId` RLIKE "^[A-Za-z0-9._:-]{1,64}$" /* schema:required, valid:no_match, datafiles:check, db:column_match */</t>
  </si>
  <si>
    <t>VAL-01186</t>
  </si>
  <si>
    <t>ERR-PER-01186</t>
  </si>
  <si>
    <t>sourceAssignmentId</t>
  </si>
  <si>
    <t>`sourceAssignmentId` IS NULL OR (typeof(`sourceAssignmentId`) = 'string')</t>
  </si>
  <si>
    <t>`sourceAssignmentId` IS NULL OR cast(`sourceAssignmentId` as decimal(38,10)) IS NOT NULL /* schema:optional, valid:field_match, datafiles:match, db:column_match */ | baseline: `sourceAssignmentId` IS NULL OR (typeof(`sourceAssignmentId`) = 'string')</t>
  </si>
  <si>
    <t>≤ 12 characters</t>
  </si>
  <si>
    <t>VAL-01187</t>
  </si>
  <si>
    <t>ERR-PER-01187</t>
  </si>
  <si>
    <t>sourceAssignmentId must not exceed 12 characters.</t>
  </si>
  <si>
    <t>`sourceAssignmentId` IS NULL OR (length(`sourceAssignmentId`) &lt;= 12)</t>
  </si>
  <si>
    <t>`sourceAssignmentId` IS NULL OR length(cast(`sourceAssignmentId` as string)) &lt;= 12 /* schema:optional, valid:field_match, datafiles:match, db:column_match */ | baseline: `sourceAssignmentId` IS NULL OR (length(`sourceAssignmentId`) &lt;= 12)</t>
  </si>
  <si>
    <t>VAL-11187</t>
  </si>
  <si>
    <t>ERR-PER-11187</t>
  </si>
  <si>
    <t>sourceAssignmentId must be null or contain 1 to 12 alphanumeric characters only.</t>
  </si>
  <si>
    <t>`sourceAssignmentId` IS NULL OR `sourceAssignmentId` RLIKE '^[A-Za-z0-9]{1,12}$'</t>
  </si>
  <si>
    <t>`sourceAssignmentId` IS NULL OR `sourceAssignmentId` RLIKE '^[A-Za-z0-9]{1,12}$' /* schema:optional, valid:field_match, datafiles:match, db:column_match */</t>
  </si>
  <si>
    <t>VAL-01188</t>
  </si>
  <si>
    <t>ERR-PER-01188</t>
  </si>
  <si>
    <t>originalHireDate</t>
  </si>
  <si>
    <t>originalHireDate is required and must not be blank.</t>
  </si>
  <si>
    <t>`originalHireDate` IS NOT NULL AND trim(`originalHireDate`) &lt;&gt; ''</t>
  </si>
  <si>
    <t>`originalHireDate` IS NOT NULL AND trim(cast(`originalHireDate` as string)) &lt;&gt; '' /* schema:optional, valid:no_match, datafiles:match, db:column_match */ | baseline: `originalHireDate` IS NOT NULL AND trim(`originalHireDate`) &lt;&gt; ''</t>
  </si>
  <si>
    <t>Field not present in required list of json schema.Field is nullable</t>
  </si>
  <si>
    <t>VAL-01189</t>
  </si>
  <si>
    <t>ERR-PER-01189</t>
  </si>
  <si>
    <t>`originalHireDate` IS NULL OR (typeof(`originalHireDate`) = 'string')</t>
  </si>
  <si>
    <t>`originalHireDate` IS NULL OR to_date(cast(`originalHireDate` as string), 'yyyy-MM-dd') IS NOT NULL /* schema:optional, valid:no_match, datafiles:match, db:column_match */ | baseline: `originalHireDate` IS NULL OR (typeof(`originalHireDate`) = 'string')</t>
  </si>
  <si>
    <t>VAL-01190</t>
  </si>
  <si>
    <t>ERR-PER-01190</t>
  </si>
  <si>
    <t>`originalHireDate` IS NULL OR (length(`originalHireDate`) &lt;= 10)</t>
  </si>
  <si>
    <t>`originalHireDate` IS NULL OR length(cast(`originalHireDate` as string)) &lt;= 10 /* schema:optional, valid:no_match, datafiles:match, db:column_match */ | baseline: `originalHireDate` IS NULL OR (length(`originalHireDate`) &lt;= 10)</t>
  </si>
  <si>
    <t>Length validation not required for date fields</t>
  </si>
  <si>
    <t>VAL-01191</t>
  </si>
  <si>
    <t>ERR-PER-01191</t>
  </si>
  <si>
    <t>originalHireDate must be a valid calendar date in yyyy-MM-dd format.</t>
  </si>
  <si>
    <t>`originalHireDate` IS NULL OR (`originalHireDate` RLIKE '^[0-9]{4}-(0[1-9]|1[0-2])-(0[1-9]|[12][0-9]|3[01])$' AND to_date(`originalHireDate`, 'yyyy-MM-dd') IS NOT NULL)</t>
  </si>
  <si>
    <t>`originalHireDate` IS NULL OR to_date(cast(`originalHireDate` as string), 'yyyy-MM-dd') IS NOT NULL /* schema:optional, valid:no_match, datafiles:match, db:column_match */ | baseline: `originalHireDate` IS NULL OR (`originalHireDate` RLIKE '^[0-9]{4}-(0[1-9]|1[0-2])-(0[1-9]|[12][0-9]|3[01])$' AND to_date(`originalHireDate`, 'yyyy-MM-dd') IS NOT NULL)</t>
  </si>
  <si>
    <t>VAL-01192</t>
  </si>
  <si>
    <t>ERR-PER-01192</t>
  </si>
  <si>
    <t>adjustedHireDate</t>
  </si>
  <si>
    <t>`adjustedHireDate` IS NULL OR (typeof(`adjustedHireDate`) = 'string')</t>
  </si>
  <si>
    <t>`adjustedHireDate` IS NULL OR to_date(cast(`adjustedHireDate` as string), 'yyyy-MM-dd') IS NOT NULL /* schema:optional, valid:no_match, datafiles:match, db:column_match */ | baseline: `adjustedHireDate` IS NULL OR (typeof(`adjustedHireDate`) = 'string')</t>
  </si>
  <si>
    <t>VAL-01193</t>
  </si>
  <si>
    <t>ERR-PER-01193</t>
  </si>
  <si>
    <t>`adjustedHireDate` IS NULL OR (length(`adjustedHireDate`) &lt;= 10)</t>
  </si>
  <si>
    <t>`adjustedHireDate` IS NULL OR length(cast(`adjustedHireDate` as string)) &lt;= 10 /* schema:optional, valid:no_match, datafiles:match, db:column_match */ | baseline: `adjustedHireDate` IS NULL OR (length(`adjustedHireDate`) &lt;= 10)</t>
  </si>
  <si>
    <t>VAL-01194</t>
  </si>
  <si>
    <t>ERR-PER-01194</t>
  </si>
  <si>
    <t>adjustedHireDate must be a valid calendar date in yyyy-MM-dd format.</t>
  </si>
  <si>
    <t>`adjustedHireDate` IS NULL OR (`adjustedHireDate` RLIKE '^[0-9]{4}-(0[1-9]|1[0-2])-(0[1-9]|[12][0-9]|3[01])$' AND to_date(`adjustedHireDate`, 'yyyy-MM-dd') IS NOT NULL)</t>
  </si>
  <si>
    <t>`adjustedHireDate` IS NULL OR to_date(cast(`adjustedHireDate` as string), 'yyyy-MM-dd') IS NOT NULL /* schema:optional, valid:no_match, datafiles:match, db:column_match */ | baseline: `adjustedHireDate` IS NULL OR (`adjustedHireDate` RLIKE '^[0-9]{4}-(0[1-9]|1[0-2])-(0[1-9]|[12][0-9]|3[01])$' AND to_date(`adjustedHireDate`, 'yyyy-MM-dd') IS NOT NULL)</t>
  </si>
  <si>
    <t>VAL-01195</t>
  </si>
  <si>
    <t>ERR-PER-01195</t>
  </si>
  <si>
    <t>terminationDate</t>
  </si>
  <si>
    <t>`terminationDate` IS NULL OR (typeof(`terminationDate`) = 'string')</t>
  </si>
  <si>
    <t>`terminationDate` IS NULL OR to_date(cast(`terminationDate` as string), 'yyyy-MM-dd') IS NOT NULL /* schema:optional, valid:no_match, datafiles:match, db:column_match */ | baseline: `terminationDate` IS NULL OR (typeof(`terminationDate`) = 'string')</t>
  </si>
  <si>
    <t>VAL-01196</t>
  </si>
  <si>
    <t>ERR-PER-01196</t>
  </si>
  <si>
    <t>`terminationDate` IS NULL OR (length(`terminationDate`) &lt;= 10)</t>
  </si>
  <si>
    <t>`terminationDate` IS NULL OR length(cast(`terminationDate` as string)) &lt;= 10 /* schema:optional, valid:no_match, datafiles:match, db:column_match */ | baseline: `terminationDate` IS NULL OR (length(`terminationDate`) &lt;= 10)</t>
  </si>
  <si>
    <t>Length validation is not needed for date fields</t>
  </si>
  <si>
    <t xml:space="preserve"> Validation Not needed</t>
  </si>
  <si>
    <t>VAL-01197</t>
  </si>
  <si>
    <t>ERR-PER-01197</t>
  </si>
  <si>
    <t>terminationDate must be a valid calendar date in yyyy-MM-dd format.</t>
  </si>
  <si>
    <t>`terminationDate` IS NULL OR (`terminationDate` RLIKE '^[0-9]{4}-(0[1-9]|1[0-2])-(0[1-9]|[12][0-9]|3[01])$' AND to_date(`terminationDate`, 'yyyy-MM-dd') IS NOT NULL)</t>
  </si>
  <si>
    <t>`terminationDate` IS NULL OR to_date(cast(`terminationDate` as string), 'yyyy-MM-dd') IS NOT NULL /* schema:optional, valid:no_match, datafiles:match, db:column_match */ | baseline: `terminationDate` IS NULL OR (`terminationDate` RLIKE '^[0-9]{4}-(0[1-9]|1[0-2])-(0[1-9]|[12][0-9]|3[01])$' AND to_date(`terminationDate`, 'yyyy-MM-dd') IS NOT NULL)</t>
  </si>
  <si>
    <t>VAL-01198</t>
  </si>
  <si>
    <t>ERR-PER-01198</t>
  </si>
  <si>
    <t>participatingGroup</t>
  </si>
  <si>
    <t>`participatingGroup` IS NULL OR (typeof(`participatingGroup`) = 'string')</t>
  </si>
  <si>
    <t>`participatingGroup` IS NULL OR cast(`participatingGroup` as decimal(38,10)) IS NOT NULL /* schema:optional, valid:no_match, datafiles:check, db:column_match */ | baseline: `participatingGroup` IS NULL OR (typeof(`participatingGroup`) = 'string')</t>
  </si>
  <si>
    <t>≤ 20 characters</t>
  </si>
  <si>
    <t>021CONT
021NONP</t>
  </si>
  <si>
    <t>VAL-01199</t>
  </si>
  <si>
    <t>ERR-PER-01199</t>
  </si>
  <si>
    <t>participatingGroup must not exceed 20 characters.</t>
  </si>
  <si>
    <t>`participatingGroup` IS NULL OR (length(`participatingGroup`) &lt;= 20)</t>
  </si>
  <si>
    <t>`participatingGroup` IS NULL OR length(cast(`participatingGroup` as string)) &lt;= 20 /* schema:optional, valid:no_match, datafiles:check, db:column_match */ | baseline: `participatingGroup` IS NULL OR (length(`participatingGroup`) &lt;= 20)</t>
  </si>
  <si>
    <t>VAL-01200</t>
  </si>
  <si>
    <t>ERR-PER-01200</t>
  </si>
  <si>
    <t>`participatingGroup` IS NULL OR upper(trim(cast(`participatingGroup` as string))) IN ('021CONT', '021NONP') /* schema:optional, valid:no_match, datafiles:check, db:column_match */</t>
  </si>
  <si>
    <t>VAL-01201</t>
  </si>
  <si>
    <t>ERR-PER-01201</t>
  </si>
  <si>
    <t>jobType</t>
  </si>
  <si>
    <t>`jobType` IS NULL OR (typeof(`jobType`) = 'string')</t>
  </si>
  <si>
    <t>`jobType` IS NULL OR typeof(`jobType`) = 'string' /* schema:optional, valid:no_match, datafiles:match, db:column_match */ | baseline: `jobType` IS NULL OR (typeof(`jobType`) = 'string')</t>
  </si>
  <si>
    <t>FT, PT</t>
  </si>
  <si>
    <t>VAL-01202</t>
  </si>
  <si>
    <t>ERR-PER-01202</t>
  </si>
  <si>
    <t>`jobType` IS NULL OR (length(`jobType`) &lt;= 2)</t>
  </si>
  <si>
    <t>`jobType` IS NULL OR length(cast(`jobType` as string)) &lt;= 2 /* schema:optional, valid:no_match, datafiles:match, db:column_match */ | baseline: `jobType` IS NULL OR (length(`jobType`) &lt;= 2)</t>
  </si>
  <si>
    <t>VAL-01203</t>
  </si>
  <si>
    <t>ERR-PER-01203</t>
  </si>
  <si>
    <t>jobType must be one of: FT, PT.</t>
  </si>
  <si>
    <t>`jobType` IS NULL OR (upper(trim(`jobType`)) IN ('FT', 'PT'))</t>
  </si>
  <si>
    <t>`jobType` IS NULL OR upper(trim(cast(`jobType` as string))) IN ('FT', 'PT') /* schema:optional, valid:no_match, datafiles:match, db:column_match */ | baseline: `jobType` IS NULL OR (upper(trim(`jobType`)) IN ('FT', 'PT'))</t>
  </si>
  <si>
    <t>VAL-01204</t>
  </si>
  <si>
    <t>ERR-PER-01204</t>
  </si>
  <si>
    <t>jobTitle</t>
  </si>
  <si>
    <t>Validate alphabetic/text content according to the workbook data type pattern.</t>
  </si>
  <si>
    <t>`jobTitle` IS NULL OR (typeof(`jobTitle`) = 'string')</t>
  </si>
  <si>
    <t>`jobTitle` IS NULL OR typeof(`jobTitle`) = 'string' /* schema:optional, valid:no_match, datafiles:match, db:column_match */ | baseline: `jobTitle` IS NULL OR (typeof(`jobTitle`) = 'string')</t>
  </si>
  <si>
    <t>VAL-01205</t>
  </si>
  <si>
    <t>ERR-PER-01205</t>
  </si>
  <si>
    <t>jobTitle must not exceed 100 characters.</t>
  </si>
  <si>
    <t>`jobTitle` IS NULL OR (length(`jobTitle`) &lt;= 100)</t>
  </si>
  <si>
    <t>`jobTitle` IS NULL OR length(cast(`jobTitle` as string)) &lt;= 100 /* schema:optional, valid:no_match, datafiles:match, db:column_match */ | baseline: `jobTitle` IS NULL OR (length(`jobTitle`) &lt;= 100)</t>
  </si>
  <si>
    <t>VAL-01206</t>
  </si>
  <si>
    <t>ERR-PER-01206</t>
  </si>
  <si>
    <t>workAuthorizationStatus</t>
  </si>
  <si>
    <t>`workAuthorizationStatus` IS NULL OR (typeof(`workAuthorizationStatus`) = 'string')</t>
  </si>
  <si>
    <t>`workAuthorizationStatus` IS NULL OR cast(`workAuthorizationStatus` as decimal(38,10)) IS NOT NULL /* schema:optional, valid:no_match, datafiles:match, db:column_match */ | baseline: `workAuthorizationStatus` IS NULL OR (typeof(`workAuthorizationStatus`) = 'string')</t>
  </si>
  <si>
    <t>01, 02, 03, 04, 05, 06</t>
  </si>
  <si>
    <t>VAL-01207</t>
  </si>
  <si>
    <t>ERR-PER-01207</t>
  </si>
  <si>
    <t>`workAuthorizationStatus` IS NULL OR (length(`workAuthorizationStatus`) &lt;= 2)</t>
  </si>
  <si>
    <t>`workAuthorizationStatus` IS NULL OR length(cast(`workAuthorizationStatus` as string)) &lt;= 2 /* schema:optional, valid:no_match, datafiles:match, db:column_match */ | baseline: `workAuthorizationStatus` IS NULL OR (length(`workAuthorizationStatus`) &lt;= 2)</t>
  </si>
  <si>
    <t>VAL-01208</t>
  </si>
  <si>
    <t>ERR-PER-01208</t>
  </si>
  <si>
    <t>workAuthorizationStatus must be one of: 01, 02, 03, 04, 05, 06.</t>
  </si>
  <si>
    <t>`workAuthorizationStatus` IS NULL OR (upper(trim(`workAuthorizationStatus`)) IN ('01', '02', '03', '04', '05', '06'))</t>
  </si>
  <si>
    <t>`workAuthorizationStatus` IS NULL OR upper(trim(cast(`workAuthorizationStatus` as string))) IN ('01', '02', '03', '04', '05', '06') /* schema:optional, valid:no_match, datafiles:match, db:column_match */ | baseline: `workAuthorizationStatus` IS NULL OR (upper(trim(`workAuthorizationStatus`)) IN ('01', '02', '03', '04', '05', '06'))</t>
  </si>
  <si>
    <t>VAL-01209</t>
  </si>
  <si>
    <t>ERR-PER-01209</t>
  </si>
  <si>
    <t>supervisorName</t>
  </si>
  <si>
    <t>`supervisorName` IS NULL OR (typeof(`supervisorName`) = 'string')</t>
  </si>
  <si>
    <t>`supervisorName` IS NULL OR typeof(`supervisorName`) = 'string' /* schema:optional, valid:no_match, datafiles:match, db:check_mapping */ | baseline: `supervisorName` IS NULL OR (typeof(`supervisorName`) = 'string')</t>
  </si>
  <si>
    <t>≤ 150 characters</t>
  </si>
  <si>
    <t>John Doe</t>
  </si>
  <si>
    <t>VAL-01210</t>
  </si>
  <si>
    <t>ERR-PER-01210</t>
  </si>
  <si>
    <t>supervisorName must not exceed 150 characters.</t>
  </si>
  <si>
    <t>`supervisorName` IS NULL OR (length(`supervisorName`) &lt;= 150)</t>
  </si>
  <si>
    <t>`supervisorName` IS NULL OR length(cast(`supervisorName` as string)) &lt;= 150 /* schema:optional, valid:no_match, datafiles:match, db:check_mapping */ | baseline: `supervisorName` IS NULL OR (length(`supervisorName`) &lt;= 150)</t>
  </si>
  <si>
    <t>VAL-01211</t>
  </si>
  <si>
    <t>ERR-PER-01211</t>
  </si>
  <si>
    <t>supervisorEmail</t>
  </si>
  <si>
    <t>Validate email syntax and reject unsafe/invalid email strings.</t>
  </si>
  <si>
    <t>`supervisorEmail` IS NULL OR (typeof(`supervisorEmail`) = 'string')</t>
  </si>
  <si>
    <t>`supervisorEmail` IS NULL OR typeof(`supervisorEmail`) = 'string' /* schema:optional, valid:no_match, datafiles:match, db:check_mapping */ | baseline: `supervisorEmail` IS NULL OR (typeof(`supervisorEmail`) = 'string')</t>
  </si>
  <si>
    <t>≤ 120 characters</t>
  </si>
  <si>
    <t>john.doe@gmail.com</t>
  </si>
  <si>
    <t>VAL-01212</t>
  </si>
  <si>
    <t>ERR-PER-01212</t>
  </si>
  <si>
    <t>supervisorEmail must not exceed 120 characters.</t>
  </si>
  <si>
    <t>`supervisorEmail` IS NULL OR (length(`supervisorEmail`) &lt;= 120)</t>
  </si>
  <si>
    <t>`supervisorEmail` IS NULL OR length(cast(`supervisorEmail` as string)) &lt;= 120 /* schema:optional, valid:no_match, datafiles:match, db:check_mapping */ | baseline: `supervisorEmail` IS NULL OR (length(`supervisorEmail`) &lt;= 120)</t>
  </si>
  <si>
    <t>VAL-11212</t>
  </si>
  <si>
    <t>ERR-PER-11212</t>
  </si>
  <si>
    <t>supervisorEmail must be null or a valid email address.</t>
  </si>
  <si>
    <t>supervisorEmail IS NULL OR supervisorEmail RLIKE '^[A-Za-z0-9.!#$%&amp;''*+/=?^_`{|}~-]+@[A-Za-z0-9-]+(\\.[A-Za-z0-9-]+)+$'</t>
  </si>
  <si>
    <t>supervisorEmail IS NULL OR supervisorEmail RLIKE '^[A-Za-z0-9.!#$%&amp;''*+/=?^_`{|}~-]+@[A-Za-z0-9-]+(\\.[A-Za-z0-9-]+)+$' /* schema:optional, valid:no_match, datafiles:match, db:check_mapping */</t>
  </si>
  <si>
    <t>VAL-01213</t>
  </si>
  <si>
    <t>ERR-PER-01213</t>
  </si>
  <si>
    <t>annuitantClaimNumber</t>
  </si>
  <si>
    <t>`annuitantClaimNumber` IS NULL OR (typeof(`annuitantClaimNumber`) = 'string')</t>
  </si>
  <si>
    <t>`annuitantClaimNumber` IS NULL OR cast(`annuitantClaimNumber` as decimal(38,10)) IS NOT NULL /* schema:optional, valid:field_match, datafiles:match, db:column_match */ | baseline: `annuitantClaimNumber` IS NULL OR (typeof(`annuitantClaimNumber`) = 'string')</t>
  </si>
  <si>
    <t>C12345678</t>
  </si>
  <si>
    <t>VAL-01214</t>
  </si>
  <si>
    <t>ERR-PER-01214</t>
  </si>
  <si>
    <t>annuitantClaimNumber must not exceed 20 characters.</t>
  </si>
  <si>
    <t>`annuitantClaimNumber` IS NULL OR (length(`annuitantClaimNumber`) &lt;= 20)</t>
  </si>
  <si>
    <t>`annuitantClaimNumber` IS NULL OR length(cast(`annuitantClaimNumber` as string)) &lt;= 20 /* schema:optional, valid:field_match, datafiles:match, db:column_match */ | baseline: `annuitantClaimNumber` IS NULL OR (length(`annuitantClaimNumber`) &lt;= 20)</t>
  </si>
  <si>
    <t>VAL-02887</t>
  </si>
  <si>
    <t>ERR-PER-02887</t>
  </si>
  <si>
    <t>employeeUniqueId, employerCode, sourceAssignmentId</t>
  </si>
  <si>
    <t>CROSS_RECORD</t>
  </si>
  <si>
    <t>BUSINESS</t>
  </si>
  <si>
    <t>DUPLICATE</t>
  </si>
  <si>
    <t>One accepted Person record per Employer Code + Employee ID + Source Assignment ID/person natural key after applying latest-record policy.</t>
  </si>
  <si>
    <t>`employeeUniqueId, employerCode, sourceAssignmentId` IS NULL OR trim(cast(`employeeUniqueId, employerCode, sourceAssignmentId` as string)) &lt;&gt; '' /* schema:optional, valid:no_match, datafiles:match, db:column_match */</t>
  </si>
  <si>
    <t>The de-duplication grain and deterministic latest-record policy are not fully specified.</t>
  </si>
  <si>
    <t>1-64 characters; 1-4 characters; ≤ 12 characters</t>
  </si>
  <si>
    <t>VAL-02888</t>
  </si>
  <si>
    <t>ERR-PER-02888</t>
  </si>
  <si>
    <t>dateOfBirth, firstName, lastName, taxIdNumber, taxIdType</t>
  </si>
  <si>
    <t>Tax ID number/type, legal name, and date of birth should not conflict across duplicate or repeated Person records for the same employee.</t>
  </si>
  <si>
    <t>`dateOfBirth, firstName, lastName, taxIdNumber, taxIdType` IS NULL OR trim(cast(`dateOfBirth, firstName, lastName, taxIdNumber, taxIdType` as string)) &lt;&gt; '' /* schema:optional, valid:no_match, datafiles:match, db:column_match */</t>
  </si>
  <si>
    <t>How is “same employee” identified: employeeUniqueId, or employerCode + employeeUniqueId + sourceAssignmentId?
What counts as a conflict—case differences, spaces, null versus populated values, or only materially different values?</t>
  </si>
  <si>
    <t>string (date), string</t>
  </si>
  <si>
    <t>1-60 characters; 1-100 characters; 9-256 characters</t>
  </si>
  <si>
    <t>VAL-02889</t>
  </si>
  <si>
    <t>ERR-PER-02889</t>
  </si>
  <si>
    <t>emails[].email, emails[].emailType, phones[].phoneNumber, phones[].phoneType, primaryAddressType</t>
  </si>
  <si>
    <t>CROSS_FIELD</t>
  </si>
  <si>
    <t>If primary address/email/phone indicators are populated, exactly one primary record should exist per contact collection and its corresponding contact value must be present.</t>
  </si>
  <si>
    <t>`emails[].email, emails[].emailType, phones[].phoneNumber, phones[].phoneType, primaryAddressType` IS NULL OR trim(cast(`emails[].email, emails[].emailType, phones[].phoneNumber, phones[].phoneType, primaryAddressType` as string)) &lt;&gt; '' /* schema:optional, valid:no_match, datafiles:match, db:column_match */</t>
  </si>
  <si>
    <t>NOT VALIDATED</t>
  </si>
  <si>
    <t>logic needed</t>
  </si>
  <si>
    <t>≤ 254 characters; ≤ 15 characters</t>
  </si>
  <si>
    <t>W, P, A; H, W, A</t>
  </si>
  <si>
    <t>VAL-01070: Validate numeric/decimal format; reject non-numeric characters except allowed de…</t>
  </si>
  <si>
    <t>VAL-02890</t>
  </si>
  <si>
    <t>ERR-PER-02890</t>
  </si>
  <si>
    <t>adjustedHireDate, originalHireDate, terminationDate</t>
  </si>
  <si>
    <t>Original Hire Date and Adjusted Hire Date must not be after Termination Date when Termination Date is populated.</t>
  </si>
  <si>
    <t>`terminationDate` IS NULL OR ((`originalHireDate` IS NULL OR to_date(`originalHireDate`, 'yyyy-MM-dd') &lt;= to_date(`terminationDate`, 'yyyy-MM-dd')) AND (`adjustedHireDate` IS NULL OR to_date(`adjustedHireDate`, 'yyyy-MM-dd') &lt;= to_date(`terminationDate`, 'yyyy-MM-dd')))</t>
  </si>
  <si>
    <t>`terminationDate` IS NULL OR ((`originalHireDate` IS NULL OR to_date(`originalHireDate`, 'yyyy-MM-dd') &lt;= to_date(`terminationDate`, 'yyyy-MM-dd')) AND (`adjustedHireDate` IS NULL OR to_date(`adjustedHireDate`, 'yyyy-MM-dd') &lt;= to_date(`terminationDate`, 'yyyy-MM-dd'))) /* schema:optional, valid:no_match, datafiles:match, db:column_match */</t>
  </si>
  <si>
    <t xml:space="preserve">SQL READY </t>
  </si>
  <si>
    <t>VAL-01071: addresses[].city must not exceed 50 characters.</t>
  </si>
  <si>
    <t>VAL-02891</t>
  </si>
  <si>
    <t>ERR-PER-02891</t>
  </si>
  <si>
    <t>emails[].email, emails[].emailType</t>
  </si>
  <si>
    <t>Email values should be unique within a person contact collection by email type unless business-approved duplicates are allowed.</t>
  </si>
  <si>
    <t>`emails` IS NULL OR size(filter(`emails`, email_item -&gt; email_item.`email` IS NOT NULL AND trim(email_item.`email`) &lt;&gt; '')) = size(array_distinct(transform(filter(`emails`, email_item -&gt; email_item.`email` IS NOT NULL AND trim(email_item.`email`) &lt;&gt; ''), email_item -&gt; concat_ws('|', coalesce(upper(trim(email_item.`emailType`)), ''), lower(trim(email_item.`email`))))))</t>
  </si>
  <si>
    <t>`emails` IS NULL OR size(filter(`emails`, email_item -&gt; email_item.`email` IS NOT NULL AND trim(email_item.`email`) &lt;&gt; '')) = size(array_distinct(transform(filter(`emails`, email_item -&gt; email_item.`email` IS NOT NULL AND trim(email_item.`email`) &lt;&gt; ''), email_item -&gt; concat_ws('|', coalesce(upper(trim(email_item.`emailType`)), ''), lower(trim(email_item.`email`)))))) /* schema:unmapped, valid:no_match, datafiles:match, db:column_match */</t>
  </si>
  <si>
    <t>VAL-01083: Validate alphabetic uppercase code/value.</t>
  </si>
  <si>
    <t>VAL-02892</t>
  </si>
  <si>
    <t>ERR-PER-02892</t>
  </si>
  <si>
    <t>addresses[].country, addresses[].foreignAddressLine, addresses[].state, addresses[].zipCode</t>
  </si>
  <si>
    <t>Address country/state/zip combination should be valid; foreign address line is required when country is not US/USA if local address fields cannot represent the address.</t>
  </si>
  <si>
    <t>`addresses[].country, addresses[].foreignAddressLine, addresses[].state, addresses[].zipCode` IS NOT NULL AND trim(cast(`addresses[].country, addresses[].foreignAddressLine, addresses[].state, addresses[].zipCode` as string)) &lt;&gt; '' /* schema:unmapped, valid:no_match, datafiles:match, db:column_match */</t>
  </si>
  <si>
    <t>Confirm whether every non-US address requires foreignAddressLine; no approved reference data or criteria exist for validating the country/state/ZIP combination. The schema supports two-character country codes, so US should be used instead of USA.</t>
  </si>
  <si>
    <t>≤ 2 characters; ≤ 500 characters; ≤ 4 characters; ≤ 10 characters</t>
  </si>
  <si>
    <t>VAL-01084: addresses[].country must not exceed 2 characters.</t>
  </si>
  <si>
    <t>VAL-02996</t>
  </si>
  <si>
    <t>ERR-PER-02996</t>
  </si>
  <si>
    <t>addresses must have datatype array.</t>
  </si>
  <si>
    <t>`addresses` IS NULL OR (typeof(`addresses`) LIKE 'array&lt;%')</t>
  </si>
  <si>
    <t>`addresses` IS NULL OR size(`addresses`) &gt;= 0 /* schema:optional, valid:no_match, datafiles:check, db:column_match */ | baseline: `addresses` IS NULL OR (typeof(`addresses`) LIKE 'array&lt;%')</t>
  </si>
  <si>
    <t>VAL-01072: Validate numeric/decimal format; reject non-numeric characters except allowed de…</t>
  </si>
  <si>
    <t>VAL-02997</t>
  </si>
  <si>
    <t>ERR-PER-02997</t>
  </si>
  <si>
    <t>Addresses[].City must have datatype string.</t>
  </si>
  <si>
    <t>`addresses` IS NULL OR forall(`addresses`, address_item -&gt; (address_item.`city` IS NULL OR (typeof(address_item.`city`) = 'string')))</t>
  </si>
  <si>
    <t>`addresses[].city` IS NULL OR typeof(`addresses[].city`) = 'string' /* schema:unmapped, valid:no_match, datafiles:match, db:column_match */ | baseline: `addresses` IS NULL OR forall(`addresses`, address_item -&gt; (address_item.`city` IS NULL OR (typeof(address_item.`city`) = 'string')))</t>
  </si>
  <si>
    <t>VAL-01073: addresses[].state must not exceed 4 characters.</t>
  </si>
  <si>
    <t>VAL-02998</t>
  </si>
  <si>
    <t>ERR-PER-02998</t>
  </si>
  <si>
    <t>addresses[].city must not exceed 50 characters.</t>
  </si>
  <si>
    <t>`addresses` IS NULL OR forall(`addresses`, address_item -&gt; (address_item.`city` IS NULL OR (length(address_item.`city`) &lt;= 50)))</t>
  </si>
  <si>
    <t>`addresses[].city` IS NULL OR length(cast(`addresses[].city` as string)) &lt;= 50 /* schema:unmapped, valid:no_match, datafiles:match, db:column_match */ | baseline: `addresses` IS NULL OR forall(`addresses`, address_item -&gt; (address_item.`city` IS NULL OR (length(address_item.`city`) &lt;= 50)))</t>
  </si>
  <si>
    <t>VAL-01066: Validate numeric/decimal format; reject non-numeric characters except allowed de…</t>
  </si>
  <si>
    <t>VAL-02999</t>
  </si>
  <si>
    <t>ERR-PER-02999</t>
  </si>
  <si>
    <t>Addresses[].Country must have datatype string.</t>
  </si>
  <si>
    <t>`addresses` IS NULL OR forall(`addresses`, address_item -&gt; (address_item.`country` IS NULL OR (typeof(address_item.`country`) = 'string')))</t>
  </si>
  <si>
    <t>`addresses[].country` IS NULL OR typeof(`addresses[].country`) = 'string' /* schema:unmapped, valid:no_match, datafiles:match, db:column_match */ | baseline: `addresses` IS NULL OR forall(`addresses`, address_item -&gt; (address_item.`country` IS NULL OR (typeof(address_item.`country`) = 'string')))</t>
  </si>
  <si>
    <t>VAL-01067: addresses[].streetAddress must not exceed 200 characters.</t>
  </si>
  <si>
    <t>VAL-03000</t>
  </si>
  <si>
    <t>ERR-PER-03000</t>
  </si>
  <si>
    <t>`addresses` IS NULL OR forall(`addresses`, address_item -&gt; (address_item.`country` IS NULL OR (length(address_item.`country`) &lt;= 2)))</t>
  </si>
  <si>
    <t>`addresses[].country` IS NULL OR length(cast(`addresses[].country` as string)) &lt;= 2 /* schema:unmapped, valid:no_match, datafiles:match, db:column_match */ | baseline: `addresses` IS NULL OR forall(`addresses`, address_item -&gt; (address_item.`country` IS NULL OR (length(address_item.`country`) &lt;= 2)))</t>
  </si>
  <si>
    <t>VAL-01075: Validate numeric/decimal format; reject non-numeric characters except allowed de…</t>
  </si>
  <si>
    <t>VAL-03001</t>
  </si>
  <si>
    <t>ERR-PER-03001</t>
  </si>
  <si>
    <t>Addresses[].State must have datatype string.</t>
  </si>
  <si>
    <t>`addresses` IS NULL OR forall(`addresses`, address_item -&gt; (address_item.`state` IS NULL OR (typeof(address_item.`state`) = 'string')))</t>
  </si>
  <si>
    <t>`addresses[].state` IS NULL OR typeof(`addresses[].state`) = 'string' /* schema:unmapped, valid:no_match, datafiles:match, db:column_match */ | baseline: `addresses` IS NULL OR forall(`addresses`, address_item -&gt; (address_item.`state` IS NULL OR (typeof(address_item.`state`) = 'string')))</t>
  </si>
  <si>
    <t>VAL-01076: addresses[].zipCode must not exceed 10 characters.</t>
  </si>
  <si>
    <t>VAL-03002</t>
  </si>
  <si>
    <t>ERR-PER-03002</t>
  </si>
  <si>
    <t>addresses[].state must not exceed 4 characters.</t>
  </si>
  <si>
    <t>`addresses` IS NULL OR forall(`addresses`, address_item -&gt; (address_item.`state` IS NULL OR (length(address_item.`state`) &lt;= 4)))</t>
  </si>
  <si>
    <t>`addresses[].state` IS NULL OR length(cast(`addresses[].state` as string)) &lt;= 4 /* schema:unmapped, valid:no_match, datafiles:match, db:column_match */ | baseline: `addresses` IS NULL OR forall(`addresses`, address_item -&gt; (address_item.`state` IS NULL OR (length(address_item.`state`) &lt;= 4)))</t>
  </si>
  <si>
    <t>VAL-01135: Validate email syntax and reject unsafe/invalid email strings.</t>
  </si>
  <si>
    <t>VAL-03003</t>
  </si>
  <si>
    <t>ERR-PER-03003</t>
  </si>
  <si>
    <t>Addresses[].Street Address must have datatype string.</t>
  </si>
  <si>
    <t>`addresses` IS NULL OR forall(`addresses`, address_item -&gt; (address_item.`streetAddress` IS NULL OR (typeof(address_item.`streetAddress`) = 'string')))</t>
  </si>
  <si>
    <t>`addresses[].streetAddress` IS NULL OR typeof(`addresses[].streetAddress`) = 'string' /* schema:unmapped, valid:no_match, datafiles:match, db:column_match */ | baseline: `addresses` IS NULL OR forall(`addresses`, address_item -&gt; (address_item.`streetAddress` IS NULL OR (typeof(address_item.`streetAddress`) = 'string')))</t>
  </si>
  <si>
    <t>VAL-01136: emails[].email must not exceed 254 characters.</t>
  </si>
  <si>
    <t>VAL-03004</t>
  </si>
  <si>
    <t>ERR-PER-03004</t>
  </si>
  <si>
    <t>addresses[].streetAddress must not exceed 200 characters.</t>
  </si>
  <si>
    <t>`addresses` IS NULL OR forall(`addresses`, address_item -&gt; (address_item.`streetAddress` IS NULL OR (length(address_item.`streetAddress`) &lt;= 200)))</t>
  </si>
  <si>
    <t>`addresses[].streetAddress` IS NULL OR length(cast(`addresses[].streetAddress` as string)) &lt;= 200 /* schema:unmapped, valid:no_match, datafiles:match, db:column_match */ | baseline: `addresses` IS NULL OR forall(`addresses`, address_item -&gt; (address_item.`streetAddress` IS NULL OR (length(address_item.`streetAddress`) &lt;= 200)))</t>
  </si>
  <si>
    <t>VAL-01132: Validate alphabetic uppercase code/value.</t>
  </si>
  <si>
    <t>VAL-03005</t>
  </si>
  <si>
    <t>ERR-PER-03005</t>
  </si>
  <si>
    <t>Addresses[].Zip Code must have datatype string.</t>
  </si>
  <si>
    <t>`addresses` IS NULL OR forall(`addresses`, address_item -&gt; (address_item.`zipCode` IS NULL OR (typeof(address_item.`zipCode`) = 'string')))</t>
  </si>
  <si>
    <t>`addresses[].zipCode` IS NULL OR typeof(`addresses[].zipCode`) = 'string' /* schema:unmapped, valid:no_match, datafiles:match, db:column_match */ | baseline: `addresses` IS NULL OR forall(`addresses`, address_item -&gt; (address_item.`zipCode` IS NULL OR (typeof(address_item.`zipCode`) = 'string')))</t>
  </si>
  <si>
    <t>VAL-01134: emails[].emailType must be one of: W, P, A.
Not needed</t>
  </si>
  <si>
    <t>VAL-03006</t>
  </si>
  <si>
    <t>ERR-PER-03006</t>
  </si>
  <si>
    <t>`addresses` IS NULL OR forall(`addresses`, address_item -&gt; (address_item.`zipCode` IS NULL OR (length(address_item.`zipCode`) &lt;= 10)))</t>
  </si>
  <si>
    <t>`addresses[].zipCode` IS NULL OR length(cast(`addresses[].zipCode` as string)) &lt;= 10 /* schema:unmapped, valid:no_match, datafiles:match, db:column_match */ | baseline: `addresses` IS NULL OR forall(`addresses`, address_item -&gt; (address_item.`zipCode` IS NULL OR (length(address_item.`zipCode`) &lt;= 10)))</t>
  </si>
  <si>
    <t>VAL-01159: Validate phone number format; preserve leading zeroes and extension-sensitive ch…</t>
  </si>
  <si>
    <t>VAL-03007</t>
  </si>
  <si>
    <t>ERR-PER-03007</t>
  </si>
  <si>
    <t>Emails[].Email must have datatype email when emails_present.</t>
  </si>
  <si>
    <t>`emails` IS NULL OR forall(`emails`, email_item -&gt; (email_item.`email` IS NULL OR (typeof(email_item.`email`) = 'string')))</t>
  </si>
  <si>
    <t>`emails[].email` IS NULL OR typeof(`emails[].email`) = 'string' /* schema:unmapped, valid:no_match, datafiles:match, db:check_mapping */ | baseline: `emails` IS NULL OR forall(`emails`, email_item -&gt; (email_item.`email` IS NULL OR (typeof(email_item.`email`) = 'string')))</t>
  </si>
  <si>
    <t>VAL-01160: phones[].phoneNumber must not exceed 15 characters.</t>
  </si>
  <si>
    <t>VAL-03008</t>
  </si>
  <si>
    <t>ERR-PER-03008</t>
  </si>
  <si>
    <t>emails[].email must not exceed 254 characters.</t>
  </si>
  <si>
    <t>`emails` IS NULL OR forall(`emails`, email_item -&gt; (email_item.`email` IS NULL OR (length(email_item.`email`) &lt;= 254)))</t>
  </si>
  <si>
    <t>`emails[].email` IS NULL OR length(cast(`emails[].email` as string)) &lt;= 254 /* schema:unmapped, valid:no_match, datafiles:match, db:check_mapping */ | baseline: `emails` IS NULL OR forall(`emails`, email_item -&gt; (email_item.`email` IS NULL OR (length(email_item.`email`) &lt;= 254)))</t>
  </si>
  <si>
    <t>VAL-03009</t>
  </si>
  <si>
    <t>ERR-PER-03009</t>
  </si>
  <si>
    <t>Emails[].Email Type must have datatype string when emails_present.</t>
  </si>
  <si>
    <t>VAL-03010</t>
  </si>
  <si>
    <t>ERR-PER-03010</t>
  </si>
  <si>
    <t>VAL-03011</t>
  </si>
  <si>
    <t>ERR-PER-03011</t>
  </si>
  <si>
    <t>Phones[].Phone Number must have datatype string when phones_present.</t>
  </si>
  <si>
    <t>Duplicate VAL-01159</t>
  </si>
  <si>
    <t>VAL-03012</t>
  </si>
  <si>
    <t>ERR-PER-03012</t>
  </si>
  <si>
    <t>Duplicate VAL-01160</t>
  </si>
  <si>
    <t>VAL-03013</t>
  </si>
  <si>
    <t>ERR-PER-03013</t>
  </si>
  <si>
    <t>taxIdValueFormat</t>
  </si>
  <si>
    <t xml:space="preserve">taxIdValueFormat must have datatype string </t>
  </si>
  <si>
    <t>typeof('taxIdValueFormat') = 'string'</t>
  </si>
  <si>
    <t>`taxIdValueFormat` IS NULL OR typeof(`taxIdValueFormat`) = 'string' /* schema:optional, valid:no_match, datafiles:check, db:check_mapping */ | baseline: typeof('taxIdValueFormat') = 'string'</t>
  </si>
  <si>
    <t>VAL-03014</t>
  </si>
  <si>
    <t>ERR-PER-03014</t>
  </si>
  <si>
    <t>taxIdValueFormat must be one of: "RAW",
        "HMAC",
        "ENCRYPTED",
        "NOT_PROVIDED".</t>
  </si>
  <si>
    <t>taxIdValueFormat' IS NULL OR TRIM(UPPER('taxIdValueFormat')) IN ("RAW",
        "HMAC",
        "ENCRYPTED",
        "NOT_PROVIDED")</t>
  </si>
  <si>
    <t>`taxIdValueFormat` IS NULL OR upper(trim(cast(`taxIdValueFormat` as string))) IN ('"RAW"', '"HMAC"', '"ENCRYPTED"', '"NOT_PROVIDED"') /* schema:optional, valid:no_match, datafiles:check, db:check_mapping */ | baseline: taxIdValueFormat' IS NULL OR TRIM(UPPER('taxIdValueFormat')) IN ("RAW",
        "HMAC",
        "ENCRYPTED",
        "NOT_PROVIDED")</t>
  </si>
  <si>
    <t>"RAW", "HMAC","ENCRYPTED","NOT_PROVIDED"</t>
  </si>
  <si>
    <t>Notes</t>
  </si>
  <si>
    <t>Source Detail</t>
  </si>
  <si>
    <t>Source Evidence</t>
  </si>
  <si>
    <t>VAL-01296</t>
  </si>
  <si>
    <t>ERR-EMP-01296</t>
  </si>
  <si>
    <t>action</t>
  </si>
  <si>
    <t>action must match JSON Schema type string or null.</t>
  </si>
  <si>
    <t>`action` IS NULL OR (typeof(`action`) = 'string')</t>
  </si>
  <si>
    <t>`action` IS NULL OR typeof(`action`) = 'string' /* schema:optional, valid:no_match, datafiles:match, db:column_match */ | baseline: `action` IS NULL OR (typeof(`action`) = 'string')</t>
  </si>
  <si>
    <t>HIR, RHIR, LOA, RTW, XFER, TRM, HRS, CLS, LOC, PAY, RET, DTH, DIV, DIS, CONT</t>
  </si>
  <si>
    <t>Schema-aligned candidate</t>
  </si>
  <si>
    <t>Represents the HR action; Cross reference with "Emp Status Map"; Codes are coming on the data file; Schema-aligned structural validation; raw JSON Schema validation occurs before Spark parsing.</t>
  </si>
  <si>
    <t>Data Files Excel candidate; Approved Employment JSON contract</t>
  </si>
  <si>
    <t>Data Files07102026.xlsx::Employment!row 24; User-provided Employment JSON Schema/common definitions</t>
  </si>
  <si>
    <t>VAL-01315</t>
  </si>
  <si>
    <t>ERR-EMP-01315</t>
  </si>
  <si>
    <t>businessUnitCode</t>
  </si>
  <si>
    <t>businessUnitCode must match JSON Schema type string or null.</t>
  </si>
  <si>
    <t>`businessUnitCode` IS NULL OR (typeof(`businessUnitCode`) = 'string')</t>
  </si>
  <si>
    <t>`businessUnitCode` IS NULL OR typeof(`businessUnitCode`) = 'string' /* schema:optional, valid:no_match, datafiles:check, db:column_match */ | baseline: `businessUnitCode` IS NULL OR (typeof(`businessUnitCode`) = 'string')</t>
  </si>
  <si>
    <t>≤ 8 characters</t>
  </si>
  <si>
    <t>Business unit; Schema-aligned structural validation; raw JSON Schema validation occurs before Spark parsing.</t>
  </si>
  <si>
    <t>Data Files07102026.xlsx::Employment!row 30 | Data Files07102026.xlsx::SmartDEV!row 46; User-provided Employment JSON Schema/common definitions</t>
  </si>
  <si>
    <t>VAL-01316</t>
  </si>
  <si>
    <t>ERR-EMP-01316</t>
  </si>
  <si>
    <t>businessUnitCode must not exceed 8 characters.</t>
  </si>
  <si>
    <t>`businessUnitCode` IS NULL OR (length(`businessUnitCode`) &lt;= 8)</t>
  </si>
  <si>
    <t>`businessUnitCode` IS NULL OR length(cast(`businessUnitCode` as string)) &lt;= 8 /* schema:optional, valid:no_match, datafiles:check, db:column_match */ | baseline: `businessUnitCode` IS NULL OR (length(`businessUnitCode`) &lt;= 8)</t>
  </si>
  <si>
    <t>VAL-02947</t>
  </si>
  <si>
    <t>ERR-EMP-02947</t>
  </si>
  <si>
    <t>clientId</t>
  </si>
  <si>
    <t>clientId must match JSON Schema type string or null.</t>
  </si>
  <si>
    <t>`clientId` IS NULL OR (typeof(`clientId`) = 'string')</t>
  </si>
  <si>
    <t>`clientId` IS NULL OR typeof(`clientId`) = 'string' /* schema:optional, valid:no_match, datafiles:check, db:column_match */ | baseline: `clientId` IS NULL OR (typeof(`clientId`) = 'string')</t>
  </si>
  <si>
    <t>≤ 64 characters</t>
  </si>
  <si>
    <t>Schema-aligned validation</t>
  </si>
  <si>
    <t>Structural validation is authoritative at the raw JSON stage before parsing payload fields into Spark.</t>
  </si>
  <si>
    <t>Approved Employment JSON contract</t>
  </si>
  <si>
    <t>User-provided Employment JSON Schema and common definitions</t>
  </si>
  <si>
    <t>VAL-12947</t>
  </si>
  <si>
    <t>ERR-EMP-12947</t>
  </si>
  <si>
    <t>clientId must match JSON Schema pattern</t>
  </si>
  <si>
    <t>`clientId` IS NULL OR `clientId`RLIKE '^[A-Za-z0-9._:-]{1,64}$'</t>
  </si>
  <si>
    <t>VAL-01312</t>
  </si>
  <si>
    <t>ERR-EMP-01312</t>
  </si>
  <si>
    <t>departmentCode</t>
  </si>
  <si>
    <t>departmentCode must match JSON Schema type string or null.</t>
  </si>
  <si>
    <t>`departmentCode` IS NULL OR (typeof(`departmentCode`) = 'string')</t>
  </si>
  <si>
    <t>`departmentCode` IS NULL OR typeof(`departmentCode`) = 'string' /* schema:optional, valid:no_match, datafiles:check, db:column_match */ | baseline: `departmentCode` IS NULL OR (typeof(`departmentCode`) = 'string')</t>
  </si>
  <si>
    <t>Department/Division; Schema-aligned structural validation; raw JSON Schema validation occurs before Spark parsing.</t>
  </si>
  <si>
    <t>Data Files07102026.xlsx::Employment!row 29 | Data Files07102026.xlsx::SmartDEV!row 45; User-provided Employment JSON Schema/common definitions</t>
  </si>
  <si>
    <t>VAL-01313</t>
  </si>
  <si>
    <t>ERR-EMP-01313</t>
  </si>
  <si>
    <t>departmentCode must not exceed 8 characters.</t>
  </si>
  <si>
    <t>`departmentCode` IS NULL OR (length(`departmentCode`) &lt;= 8)</t>
  </si>
  <si>
    <t>`departmentCode` IS NULL OR length(cast(`departmentCode` as string)) &lt;= 8 /* schema:optional, valid:no_match, datafiles:check, db:column_match */ | baseline: `departmentCode` IS NULL OR (length(`departmentCode`) &lt;= 8)</t>
  </si>
  <si>
    <t>VAL-01357</t>
  </si>
  <si>
    <t>ERR-EMP-01357</t>
  </si>
  <si>
    <t>dutyStationCityCode</t>
  </si>
  <si>
    <t>dutyStationCityCode must match JSON Schema type string or null.</t>
  </si>
  <si>
    <t>`dutyStationCityCode` IS NULL OR (typeof(`dutyStationCityCode`) = 'string')</t>
  </si>
  <si>
    <t>`dutyStationCityCode` IS NULL OR typeof(`dutyStationCityCode`) = 'string' /* schema:optional, valid:no_match, datafiles:match, db:check_mapping */ | baseline: `dutyStationCityCode` IS NULL OR (typeof(`dutyStationCityCode`) = 'string')</t>
  </si>
  <si>
    <t>4-character OPM locality code parsed from positions 6-9 of the 9-character Duty Station composite, used for locality pay area determination and FEHB HMO geographic availability. 0000=not in city. Overseas: last 3 chars replaced with zeros by EHRI.; Schema-aligned structural validation; raw JSON Schema validation occurs before Spark parsing.</t>
  </si>
  <si>
    <t>Data Files07102026.xlsx::Employment!row 46; User-provided Employment JSON Schema/common definitions</t>
  </si>
  <si>
    <t>VAL-01358</t>
  </si>
  <si>
    <t>ERR-EMP-01358</t>
  </si>
  <si>
    <t>dutyStationCityCode must not exceed 8 characters.</t>
  </si>
  <si>
    <t>`dutyStationCityCode` IS NULL OR (length(`dutyStationCityCode`) &lt;= 8)</t>
  </si>
  <si>
    <t>`dutyStationCityCode` IS NULL OR length(cast(`dutyStationCityCode` as string)) &lt;= 8 /* schema:optional, valid:no_match, datafiles:match, db:check_mapping */ | baseline: `dutyStationCityCode` IS NULL OR (length(`dutyStationCityCode`) &lt;= 8)</t>
  </si>
  <si>
    <t>VAL-01354</t>
  </si>
  <si>
    <t>ERR-EMP-01354</t>
  </si>
  <si>
    <t>dutyStationCountyCode</t>
  </si>
  <si>
    <t>dutyStationCountyCode must match JSON Schema type string or null.</t>
  </si>
  <si>
    <t>`dutyStationCountyCode` IS NULL OR (typeof(`dutyStationCountyCode`) = 'string')</t>
  </si>
  <si>
    <t>`dutyStationCountyCode` IS NULL OR typeof(`dutyStationCountyCode`) = 'string' /* schema:optional, valid:no_match, datafiles:match, db:column_match */ | baseline: `dutyStationCountyCode` IS NULL OR (typeof(`dutyStationCountyCode`) = 'string')</t>
  </si>
  <si>
    <t>3-character FIPS county code parsed from positions 3-5 of the 9-character OPM Duty Station composite code. 000=not in county. VA: 013=Arlington. 059=Fairfax. MD: 031=Montgomery.; Schema-aligned structural validation; raw JSON Schema validation occurs before Spark parsing.</t>
  </si>
  <si>
    <t>Data Files07102026.xlsx::Employment!row 45; User-provided Employment JSON Schema/common definitions</t>
  </si>
  <si>
    <t>VAL-01355</t>
  </si>
  <si>
    <t>ERR-EMP-01355</t>
  </si>
  <si>
    <t>dutyStationCountyCode must not exceed 8 characters.</t>
  </si>
  <si>
    <t>`dutyStationCountyCode` IS NULL OR (length(`dutyStationCountyCode`) &lt;= 8)</t>
  </si>
  <si>
    <t>`dutyStationCountyCode` IS NULL OR length(cast(`dutyStationCountyCode` as string)) &lt;= 8 /* schema:optional, valid:no_match, datafiles:match, db:column_match */ | baseline: `dutyStationCountyCode` IS NULL OR (length(`dutyStationCountyCode`) &lt;= 8)</t>
  </si>
  <si>
    <t>VAL-01351</t>
  </si>
  <si>
    <t>ERR-EMP-01351</t>
  </si>
  <si>
    <t>dutyStationStateCode</t>
  </si>
  <si>
    <t>dutyStationStateCode must match JSON Schema type string or null.</t>
  </si>
  <si>
    <t>`dutyStationStateCode` IS NULL OR (typeof(`dutyStationStateCode`) = 'string')</t>
  </si>
  <si>
    <t>`dutyStationStateCode` IS NULL OR typeof(`dutyStationStateCode`) = 'string' /* schema:optional, valid:no_match, datafiles:match, db:column_match */ | baseline: `dutyStationStateCode` IS NULL OR (typeof(`dutyStationStateCode`) = 'string')</t>
  </si>
  <si>
    <t>2-character FIPS state code parsed from positions 1-2 of the 9-character OPM Duty Station composite code, identifying the state of the employee's official worksite. 01=AL. 06=CA. 11=DC. 24=MD. 51=VA. 72=PR.; Schema-aligned structural validation; raw JSON Schema validation occurs before Spark parsing.</t>
  </si>
  <si>
    <t>Data Files07102026.xlsx::Employment!row 44; User-provided Employment JSON Schema/common definitions</t>
  </si>
  <si>
    <t>VAL-01352</t>
  </si>
  <si>
    <t>ERR-EMP-01352</t>
  </si>
  <si>
    <t>dutyStationStateCode must not exceed 8 characters.</t>
  </si>
  <si>
    <t>`dutyStationStateCode` IS NULL OR (length(`dutyStationStateCode`) &lt;= 8)</t>
  </si>
  <si>
    <t>`dutyStationStateCode` IS NULL OR length(cast(`dutyStationStateCode` as string)) &lt;= 8 /* schema:optional, valid:no_match, datafiles:match, db:column_match */ | baseline: `dutyStationStateCode` IS NULL OR (length(`dutyStationStateCode`) &lt;= 8)</t>
  </si>
  <si>
    <t>VAL-01282</t>
  </si>
  <si>
    <t>ERR-EMP-01282</t>
  </si>
  <si>
    <t>effectiveDate</t>
  </si>
  <si>
    <t>effectiveDate is required and must not be blank.</t>
  </si>
  <si>
    <t>`effectiveDate` IS NOT NULL AND trim(`effectiveDate`) &lt;&gt; ''</t>
  </si>
  <si>
    <t>`effectiveDate` IS NOT NULL AND trim(cast(`effectiveDate` as string)) &lt;&gt; '' /* schema:required, valid:field_match, datafiles:match, db:column_match */ | baseline: `effectiveDate` IS NOT NULL AND trim(`effectiveDate`) &lt;&gt; ''</t>
  </si>
  <si>
    <t>Represents the as of date for any action taken on employment. For example, if an employee went to leave, the effective date represents the begin date of the leave status; when employee returns to work, the effective date of the active status row minus a day becomes the leave status end date. This must be entered for new hires, re-hires, or changes in Contribution Groups or Position Status (for example, from nonparticipating Law Enforcement Officer to contributing Law Enforcement Officer, or from contributing Bus Driver to contributing Teacher.) Please pay special attention to re-hires; submit the employment date the employee is re-hired (the most recent employment date). For employees who are changing Contribution Groups within the same position (e.g., from non-participating Law Enforcement Officer to contributing Law Enforcement Officer), the date should reflect the date the employee began in the new Contribution Group. If reporting any other change in Contribution Group (e.g., due to a change in position status), report the date the position status changed. Report the as of date when the employee is terminated or when the employee’s Contribution Group or Position Status changes due to a change in position. Pertaining to death, this should reflect the date the employee passed away.; Schema-aligned structural validation; raw JSON Schema validation occurs before Spark parsing.</t>
  </si>
  <si>
    <t>Data Files07102026.xlsx::Employment!row 21; User-provided Employment JSON Schema/common definitions</t>
  </si>
  <si>
    <t>VAL-01283</t>
  </si>
  <si>
    <t>ERR-EMP-01283</t>
  </si>
  <si>
    <t>effectiveDate must match JSON Schema type string and format yyyy-MM-dd.</t>
  </si>
  <si>
    <t>`effectiveDate` IS NULL OR (typeof(`effectiveDate`) = 'string')</t>
  </si>
  <si>
    <t>`effectiveDate` IS NULL OR to_date(cast(`effectiveDate` as string), 'yyyy-MM-dd') IS NOT NULL /* schema:required, valid:field_match, datafiles:match, db:column_match */ | baseline: `effectiveDate` IS NULL OR (typeof(`effectiveDate`) = 'string')</t>
  </si>
  <si>
    <t>VAL-01271</t>
  </si>
  <si>
    <t>ERR-EMP-01271</t>
  </si>
  <si>
    <t>Primary participant identifier; this could be the SSN or Employee Id to be determined by the project team.; Schema-aligned structural validation; raw JSON Schema validation occurs before Spark parsing.</t>
  </si>
  <si>
    <t>Data Files07102026.xlsx::Employment!row 17; User-provided Employment JSON Schema/common definitions</t>
  </si>
  <si>
    <t>VAL-01272</t>
  </si>
  <si>
    <t>ERR-EMP-01272</t>
  </si>
  <si>
    <t>employeeUniqueId must match JSON Schema type string.</t>
  </si>
  <si>
    <t>`employeeUniqueId` IS NULL OR typeof(`employeeUniqueId`) = 'string' /* schema:required, valid:no_match, datafiles:check, db:column_match */ | baseline: `employeeUniqueId` IS NULL OR (typeof(`employeeUniqueId`) = 'string')</t>
  </si>
  <si>
    <t>VAL-11272</t>
  </si>
  <si>
    <t>ERR-EMP-11272</t>
  </si>
  <si>
    <t>employeeUniqueId must match JSON Schema type pattern.</t>
  </si>
  <si>
    <t>`employeeUniqueId` IS NULL OR (trim(`employeeUniqueId`) RLIKE '^[A-Za-z0-9._:-]{1,64}$')</t>
  </si>
  <si>
    <t>VAL-00029</t>
  </si>
  <si>
    <t>ERR-EMP-00029</t>
  </si>
  <si>
    <t>employerCode is required and must not be blank.</t>
  </si>
  <si>
    <t>^[A-Za-z0-9]{1,4}$</t>
  </si>
  <si>
    <t>Required in the Employment JSON payload. Datatype, length, pattern, and future allowed-value checks are maintained as separate validation rows.; Schema-aligned structural validation; raw JSON Schema validation occurs before Spark parsing.</t>
  </si>
  <si>
    <t>Current implemented L1 config; Approved Employment JSON contract</t>
  </si>
  <si>
    <t>common-definitions.schema.json#/$defs/employerCode; structural_rules.yaml via Current L1 Config; User-provided Employment JSON Schema/common definitions</t>
  </si>
  <si>
    <t>VAL-01238</t>
  </si>
  <si>
    <t>ERR-EMP-01238</t>
  </si>
  <si>
    <t>employerCode must be a JSON string.</t>
  </si>
  <si>
    <t>`employerCode` IS NULL OR (typeof(`employerCode`) = 'string')</t>
  </si>
  <si>
    <t>`employerCode` IS NULL OR typeof(`employerCode`) = 'string' /* schema:required, valid:field_match, datafiles:match, db:column_match */ | baseline: `employerCode` IS NULL OR (typeof(`employerCode`) = 'string')</t>
  </si>
  <si>
    <t>Payload-level datatype validation. Duplicate header/footer datatype rules were merged into this retained Validation ID.; Schema-aligned structural validation; raw JSON Schema validation occurs before Spark parsing.</t>
  </si>
  <si>
    <t>common-definitions.schema.json#/$defs/employerCode; Data Files07102026.xlsx::Employment!row 6; User-provided Employment JSON Schema/common definitions</t>
  </si>
  <si>
    <t>VAL-01239</t>
  </si>
  <si>
    <t>ERR-EMP-01239</t>
  </si>
  <si>
    <t>`employerCode` IS NULL OR (length(`employerCode`) &lt;= 4)</t>
  </si>
  <si>
    <t>`employerCode` IS NULL OR length(cast(`employerCode` as string)) &lt;= 1 /* schema:required, valid:field_match, datafiles:match, db:column_match */ | baseline: `employerCode` IS NULL OR (length(`employerCode`) &lt;= 4)</t>
  </si>
  <si>
    <t>Payload-level length validation. Duplicate header/footer length rules were merged into this retained Validation ID.; Schema-aligned structural validation; raw JSON Schema validation occurs before Spark parsing.</t>
  </si>
  <si>
    <t>VAL-02940</t>
  </si>
  <si>
    <t>ERR-EMP-02940</t>
  </si>
  <si>
    <t>employerCode must match ^[A-Za-z0-9]{1,4}$.</t>
  </si>
  <si>
    <t>`employerCode` IS NULL OR (`employerCode` RLIKE '^[A-Za-z0-9]{1,4}$')</t>
  </si>
  <si>
    <t>`employerCode` IS NULL OR (`employerCode` RLIKE '^[A-Za-z0-9]{1,4}$') /* schema:required, valid:field_match, datafiles:match, db:column_match */</t>
  </si>
  <si>
    <t>Separate payload-level character-pattern validation added from the JSON common definition.; Schema-aligned structural validation; raw JSON Schema validation occurs before Spark parsing.</t>
  </si>
  <si>
    <t>Common definition constraint; Approved Employment JSON contract</t>
  </si>
  <si>
    <t>common-definitions.schema.json#/$defs/employerCode; User-provided Employment JSON Schema/common definitions</t>
  </si>
  <si>
    <t>VAL-01321</t>
  </si>
  <si>
    <t>ERR-EMP-01321</t>
  </si>
  <si>
    <t>exempt</t>
  </si>
  <si>
    <t>exempt must match JSON Schema type boolean or null.</t>
  </si>
  <si>
    <t>`exempt` IS NULL OR (typeof(`exempt`) = 'boolean')</t>
  </si>
  <si>
    <t>`exempt` IS NULL OR upper(trim(cast(`exempt` as string))) IN ('Y','N','TRUE','FALSE','1','0') /* schema:optional, valid:no_match, datafiles:match, db:column_match */ | baseline: `exempt` IS NULL OR (typeof(`exempt`) = 'boolean')</t>
  </si>
  <si>
    <t>Represents the exempt indicator of an employee. From an employment/payroll perspective, “exempt” usually means an employee is exempt from (not covered by) certain wage-and-hour rules—most notably the overtime pay requirements of the Fair Labor Standards Act (FLSA) in the U.S.; Schema-aligned structural validation; raw JSON Schema validation occurs before Spark parsing.</t>
  </si>
  <si>
    <t>Data Files07102026.xlsx::Employment!row 33; User-provided Employment JSON Schema/common definitions</t>
  </si>
  <si>
    <t>VAL-01324</t>
  </si>
  <si>
    <t>ERR-EMP-01324</t>
  </si>
  <si>
    <t>exempt2</t>
  </si>
  <si>
    <t>exempt2 must match JSON Schema type string or null.</t>
  </si>
  <si>
    <t>`exempt2` IS NULL OR (typeof(`exempt2`) = 'string')</t>
  </si>
  <si>
    <t>`exempt2` IS NULL OR typeof(`exempt2`) = 'string' /* schema:optional, valid:no_match, datafiles:match, db:check_mapping */ | baseline: `exempt2` IS NULL OR (typeof(`exempt2`) = 'string')</t>
  </si>
  <si>
    <t>Schema-aligned structural validation; raw JSON Schema validation occurs before Spark parsing.</t>
  </si>
  <si>
    <t>Data Files07102026.xlsx::Employment!row 34; User-provided Employment JSON Schema/common definitions</t>
  </si>
  <si>
    <t>VAL-01325</t>
  </si>
  <si>
    <t>ERR-EMP-01325</t>
  </si>
  <si>
    <t>exempt2 must not exceed 8 characters.</t>
  </si>
  <si>
    <t>`exempt2` IS NULL OR (length(`exempt2`) &lt;= 8)</t>
  </si>
  <si>
    <t>`exempt2` IS NULL OR length(cast(`exempt2` as string)) &lt;= 8 /* schema:optional, valid:no_match, datafiles:match, db:check_mapping */ | baseline: `exempt2` IS NULL OR (length(`exempt2`) &lt;= 8)</t>
  </si>
  <si>
    <t>VAL-01326</t>
  </si>
  <si>
    <t>ERR-EMP-01326</t>
  </si>
  <si>
    <t>exempt3</t>
  </si>
  <si>
    <t>exempt3 must match JSON Schema type string or null.</t>
  </si>
  <si>
    <t>`exempt3` IS NULL OR (typeof(`exempt3`) = 'string')</t>
  </si>
  <si>
    <t>`exempt3` IS NULL OR typeof(`exempt3`) = 'string' /* schema:optional, valid:no_match, datafiles:match, db:check_mapping */ | baseline: `exempt3` IS NULL OR (typeof(`exempt3`) = 'string')</t>
  </si>
  <si>
    <t>Data Files07102026.xlsx::Employment!row 35; User-provided Employment JSON Schema/common definitions</t>
  </si>
  <si>
    <t>VAL-01327</t>
  </si>
  <si>
    <t>ERR-EMP-01327</t>
  </si>
  <si>
    <t>exempt3 must not exceed 8 characters.</t>
  </si>
  <si>
    <t>`exempt3` IS NULL OR (length(`exempt3`) &lt;= 8)</t>
  </si>
  <si>
    <t>`exempt3` IS NULL OR length(cast(`exempt3` as string)) &lt;= 8 /* schema:optional, valid:no_match, datafiles:match, db:check_mapping */ | baseline: `exempt3` IS NULL OR (length(`exempt3`) &lt;= 8)</t>
  </si>
  <si>
    <t>VAL-01363</t>
  </si>
  <si>
    <t>ERR-EMP-01363</t>
  </si>
  <si>
    <t>expatriate</t>
  </si>
  <si>
    <t>expatriate must match JSON Schema type boolean or null.</t>
  </si>
  <si>
    <t>`expatriate` IS NULL OR (typeof(`expatriate`) = 'boolean')</t>
  </si>
  <si>
    <t>`expatriate` IS NULL OR upper(trim(cast(`expatriate` as string))) IN ('Y','N','TRUE','FALSE','1','0') /* schema:optional, valid:no_match, datafiles:match, db:check_mapping */ | baseline: `expatriate` IS NULL OR (typeof(`expatriate`) = 'boolean')</t>
  </si>
  <si>
    <t>Indicaites an employee is temporarily working in a country other than their home country under an employer-managed arrangement. Available options: - Yes - No; Schema-aligned structural validation; raw JSON Schema validation occurs before Spark parsing.</t>
  </si>
  <si>
    <t>Data Files07102026.xlsx::Employment!row 48; User-provided Employment JSON Schema/common definitions</t>
  </si>
  <si>
    <t>VAL-01369</t>
  </si>
  <si>
    <t>ERR-EMP-01369</t>
  </si>
  <si>
    <t>ficaCode</t>
  </si>
  <si>
    <t>ficaCode must match JSON Schema type string or null.</t>
  </si>
  <si>
    <t>`ficaCode` IS NULL OR (typeof(`ficaCode`) = 'string')</t>
  </si>
  <si>
    <t>`ficaCode` IS NULL OR typeof(`ficaCode`) = 'string' /* schema:optional, valid:no_match, datafiles:match, db:check_mapping */ | baseline: `ficaCode` IS NULL OR (typeof(`ficaCode`) = 'string')</t>
  </si>
  <si>
    <t>Identifies the Social Security and Medicare tax coverage applicable to the employee, transmitted via the EHRI payroll file (not HR Status). Y=Full FICA — OASDI 6.2% + Medicare 1.45% (all FERS). H=Medicare Only 1.45% (post-1983 CSRS). N=FICA Exempt (pre-1984 CSRS).; Schema-aligned structural validation; raw JSON Schema validation occurs before Spark parsing.</t>
  </si>
  <si>
    <t>Data Files07102026.xlsx::Employment!row 50; User-provided Employment JSON Schema/common definitions</t>
  </si>
  <si>
    <t>VAL-01370</t>
  </si>
  <si>
    <t>ERR-EMP-01370</t>
  </si>
  <si>
    <t>ficaCode must not exceed 4 characters.</t>
  </si>
  <si>
    <t>`ficaCode` IS NULL OR (length(`ficaCode`) &lt;= 4)</t>
  </si>
  <si>
    <t>`ficaCode` IS NULL OR length(cast(`ficaCode` as string)) &lt;= 4 /* schema:optional, valid:no_match, datafiles:match, db:check_mapping */ | baseline: `ficaCode` IS NULL OR (length(`ficaCode`) &lt;= 4)</t>
  </si>
  <si>
    <t>VAL-01306</t>
  </si>
  <si>
    <t>ERR-EMP-01306</t>
  </si>
  <si>
    <t>fullTimePercentage</t>
  </si>
  <si>
    <t>fullTimePercentage must be a JSON number when provided.</t>
  </si>
  <si>
    <t>`fullTimePercentage` IS NULL OR (try_cast(`fullTimePercentage` AS DOUBLE) IS NOT NULL)</t>
  </si>
  <si>
    <t>`fullTimePercentage` IS NULL OR cast(`fullTimePercentage` as decimal(38,10)) IS NOT NULL /* schema:optional, valid:field_match, datafiles:match, db:check_mapping */ | baseline: `fullTimePercentage` IS NULL OR (try_cast(`fullTimePercentage` AS DOUBLE) IS NOT NULL)</t>
  </si>
  <si>
    <t>number</t>
  </si>
  <si>
    <t>0-100</t>
  </si>
  <si>
    <t>Optional and nullable for SmartDEV; parse as Spark DoubleType.; Schema-aligned structural validation; raw JSON Schema validation occurs before Spark parsing.</t>
  </si>
  <si>
    <t>employment.schema.json::properties.fullTimePercentage; Data Files07102026.xlsx::Employment!row 27; User-provided Employment JSON Schema/common definitions</t>
  </si>
  <si>
    <t>VAL-01307</t>
  </si>
  <si>
    <t>ERR-EMP-01307</t>
  </si>
  <si>
    <t>RANGE</t>
  </si>
  <si>
    <t>fullTimePercentage must be between 0 and 100.</t>
  </si>
  <si>
    <t>`fullTimePercentage` IS NULL OR (try_cast(`fullTimePercentage` AS DOUBLE) IS NOT NULL AND try_cast(`fullTimePercentage` AS DOUBLE) &gt;= 0 AND try_cast(`fullTimePercentage` AS DOUBLE) &lt;= 100)</t>
  </si>
  <si>
    <t>`fullTimePercentage` IS NULL OR (try_cast(`fullTimePercentage` AS DOUBLE) IS NOT NULL AND try_cast(`fullTimePercentage` AS DOUBLE) &gt;= 0 AND try_cast(`fullTimePercentage` AS DOUBLE) &lt;= 100) /* schema:optional, valid:field_match, datafiles:match, db:check_mapping */</t>
  </si>
  <si>
    <t>Null is allowed; 100 represents 100 percent. Numeric fields do not use character-length validation.; Schema-aligned structural validation; raw JSON Schema validation occurs before Spark parsing.</t>
  </si>
  <si>
    <t>VAL-01342</t>
  </si>
  <si>
    <t>ERR-EMP-01342</t>
  </si>
  <si>
    <t>grade</t>
  </si>
  <si>
    <t>grade must match JSON Schema type string or null.</t>
  </si>
  <si>
    <t>`grade` IS NULL OR (typeof(`grade`) = 'string')</t>
  </si>
  <si>
    <t>`grade` IS NULL OR typeof(`grade`) = 'string' /* schema:optional, valid:no_match, datafiles:match, db:column_match */ | baseline: `grade` IS NULL OR (typeof(`grade`) = 'string')</t>
  </si>
  <si>
    <t>2-character zero-padded code indicating the employee's hierarchical position within a pay plan, documented on SF-50 Block 18. GS: 01-15. WG/WL/WS: 01-15. SES: AA or BB. EX: I-V. ST/SL: 00 no grade. Legacy GM DEPRECATED. This is the default set but must be expandable.; Schema-aligned structural validation; raw JSON Schema validation occurs before Spark parsing.</t>
  </si>
  <si>
    <t>Data Files07102026.xlsx::Employment!row 41; User-provided Employment JSON Schema/common definitions</t>
  </si>
  <si>
    <t>VAL-01343</t>
  </si>
  <si>
    <t>ERR-EMP-01343</t>
  </si>
  <si>
    <t>grade must not exceed 8 characters.</t>
  </si>
  <si>
    <t>`grade` IS NULL OR (length(`grade`) &lt;= 8)</t>
  </si>
  <si>
    <t>`grade` IS NULL OR length(cast(`grade` as string)) &lt;= 8 /* schema:optional, valid:no_match, datafiles:match, db:column_match */ | baseline: `grade` IS NULL OR (length(`grade`) &lt;= 8)</t>
  </si>
  <si>
    <t>VAL-01336</t>
  </si>
  <si>
    <t>ERR-EMP-01336</t>
  </si>
  <si>
    <t>jobClassification</t>
  </si>
  <si>
    <t>jobClassification must match JSON Schema type string or null.</t>
  </si>
  <si>
    <t>`jobClassification` IS NULL OR (typeof(`jobClassification`) = 'string')</t>
  </si>
  <si>
    <t>`jobClassification` IS NULL OR typeof(`jobClassification`) = 'string' /* schema:optional, valid:field_match, datafiles:match, db:column_match */ | baseline: `jobClassification` IS NULL OR (typeof(`jobClassification`) = 'string')</t>
  </si>
  <si>
    <t>4-digit OPM occupational series code from the OPM Handbook of Occupational Groups and Families, documenting the nature of the work on SF-50 Block 17. VARCHAR(4) zero-padded. Valid range 0001-9999. 0301=Misc Admin. 0343=Mgmt Analyst. 2210=IT Specialist.; Schema-aligned structural validation; raw JSON Schema validation occurs before Spark parsing.</t>
  </si>
  <si>
    <t>Data Files07102026.xlsx::Employment!row 39; User-provided Employment JSON Schema/common definitions</t>
  </si>
  <si>
    <t>VAL-01337</t>
  </si>
  <si>
    <t>ERR-EMP-01337</t>
  </si>
  <si>
    <t>jobClassification must not exceed 20 characters.</t>
  </si>
  <si>
    <t>`jobClassification` IS NULL OR (length(`jobClassification`) &lt;= 20)</t>
  </si>
  <si>
    <t>`jobClassification` IS NULL OR length(cast(`jobClassification` as string)) &lt;= 20 /* schema:optional, valid:field_match, datafiles:match, db:column_match */ | baseline: `jobClassification` IS NULL OR (length(`jobClassification`) &lt;= 20)</t>
  </si>
  <si>
    <t>VAL-01303</t>
  </si>
  <si>
    <t>ERR-EMP-01303</t>
  </si>
  <si>
    <t>jobType must match JSON Schema type string or null.</t>
  </si>
  <si>
    <t>Data Files07102026.xlsx::Employment!row 26; User-provided Employment JSON Schema/common definitions</t>
  </si>
  <si>
    <t>VAL-02950</t>
  </si>
  <si>
    <t>ERR-EMP-02950</t>
  </si>
  <si>
    <t>loadId</t>
  </si>
  <si>
    <t>loadId must match JSON Schema type string or null.</t>
  </si>
  <si>
    <t>`loadId` IS NULL OR (typeof(`loadId`) = 'string')</t>
  </si>
  <si>
    <t>`loadId` IS NULL OR typeof(`loadId`) = 'string' /* schema:optional, valid:no_match, datafiles:check, db:column_match */ | baseline: `loadId` IS NULL OR (typeof(`loadId`) = 'string')</t>
  </si>
  <si>
    <t>≤ 80 characters</t>
  </si>
  <si>
    <t>VAL-02951</t>
  </si>
  <si>
    <t>ERR-EMP-02951</t>
  </si>
  <si>
    <t>loadId must not exceed 80 characters.</t>
  </si>
  <si>
    <t>`loadId` IS NULL OR (length(`loadId`) &lt;= 80)</t>
  </si>
  <si>
    <t>`loadId` IS NULL OR length(cast(`loadId` as string)) &lt;= 80 /* schema:optional, valid:no_match, datafiles:check, db:column_match */ | baseline: `loadId` IS NULL OR (length(`loadId`) &lt;= 80)</t>
  </si>
  <si>
    <t>VAL-01366</t>
  </si>
  <si>
    <t>ERR-EMP-01366</t>
  </si>
  <si>
    <t>officer</t>
  </si>
  <si>
    <t>officer must match JSON Schema type boolean or null.</t>
  </si>
  <si>
    <t>`officer` IS NULL OR (typeof(`officer`) = 'boolean')</t>
  </si>
  <si>
    <t>`officer` IS NULL OR upper(trim(cast(`officer` as string))) IN ('Y','N','TRUE','FALSE','1','0') /* schema:optional, valid:no_match, datafiles:match, db:column_match */ | baseline: `officer` IS NULL OR (typeof(`officer`) = 'boolean')</t>
  </si>
  <si>
    <t>Officer status usually means whether a worker is recognized as a corporate officer of a legal entity (e.g., “officer of ABC, Inc.”), typically recorded for governance, regulatory, tax, and benefits reasons. It’s more of a legal/role designation than a job title. Available options: - Yes - No; Schema-aligned structural validation; raw JSON Schema validation occurs before Spark parsing.</t>
  </si>
  <si>
    <t>Data Files07102026.xlsx::Employment!row 49; User-provided Employment JSON Schema/common definitions</t>
  </si>
  <si>
    <t>VAL-02946</t>
  </si>
  <si>
    <t>ERR-EMP-02946</t>
  </si>
  <si>
    <t>orgId</t>
  </si>
  <si>
    <t>orgId is required and must not be blank.</t>
  </si>
  <si>
    <t>`orgId` IS NOT NULL AND trim(`orgId`) &lt;&gt; ''</t>
  </si>
  <si>
    <t>`orgId` IS NOT NULL AND trim(cast(`orgId` as string)) &lt;&gt; '' /* schema:required, valid:no_match, datafiles:check, db:column_match */ | baseline: `orgId` IS NOT NULL AND trim(`orgId`) &lt;&gt; ''</t>
  </si>
  <si>
    <t>VAL-02945</t>
  </si>
  <si>
    <t>ERR-EMP-02945</t>
  </si>
  <si>
    <t>orgId must match JSON Schema type string.</t>
  </si>
  <si>
    <t>`orgId` IS NULL OR (typeof(`orgId`) = 'string')</t>
  </si>
  <si>
    <t>`orgId` IS NULL OR typeof(`orgId`) = 'string' /* schema:required, valid:no_match, datafiles:check, db:column_match */ | baseline: `orgId` IS NULL OR (typeof(`orgId`) = 'string')</t>
  </si>
  <si>
    <t>VAL-12945</t>
  </si>
  <si>
    <t>ERR-EMP-12945</t>
  </si>
  <si>
    <t>orgId must match JSON Schema type pattern.</t>
  </si>
  <si>
    <t>`orgId` IS NULL OR (trim(`orgId`) RLIKE '^[A-Za-z0-9._:-]{1,64}$')</t>
  </si>
  <si>
    <t>VAL-01406</t>
  </si>
  <si>
    <t>ERR-EMP-01406</t>
  </si>
  <si>
    <t>owcpReinstatementIndicator</t>
  </si>
  <si>
    <t>owcpReinstatementIndicator must match JSON Schema type boolean or null.</t>
  </si>
  <si>
    <t>`owcpReinstatementIndicator` IS NULL OR (typeof(`owcpReinstatementIndicator`) = 'boolean')</t>
  </si>
  <si>
    <t>`owcpReinstatementIndicator` IS NULL OR upper(trim(cast(`owcpReinstatementIndicator` as string))) IN ('Y','N','TRUE','FALSE','1','0') /* schema:optional, valid:field_match, datafiles:match, db:column_match */ | baseline: `owcpReinstatementIndicator` IS NULL OR (typeof(`owcpReinstatementIndicator`) = 'boolean')</t>
  </si>
  <si>
    <t>Data Files07102026.xlsx::Employment!row 63; User-provided Employment JSON Schema/common definitions</t>
  </si>
  <si>
    <t>VAL-01394</t>
  </si>
  <si>
    <t>ERR-EMP-01394</t>
  </si>
  <si>
    <t>owcpRollType</t>
  </si>
  <si>
    <t>owcpRollType must match JSON Schema type string or null.</t>
  </si>
  <si>
    <t>`owcpRollType` IS NULL OR (typeof(`owcpRollType`) = 'string')</t>
  </si>
  <si>
    <t>`owcpRollType` IS NULL OR typeof(`owcpRollType`) = 'string' /* schema:optional, valid:field_match, datafiles:match, db:column_match */ | baseline: `owcpRollType` IS NULL OR (typeof(`owcpRollType`) = 'string')</t>
  </si>
  <si>
    <t>≤ 1 characters</t>
  </si>
  <si>
    <t>P</t>
  </si>
  <si>
    <t>Data Files07102026.xlsx::Employment!row 59; User-provided Employment JSON Schema/common definitions</t>
  </si>
  <si>
    <t>VAL-01395</t>
  </si>
  <si>
    <t>ERR-EMP-01395</t>
  </si>
  <si>
    <t>owcpRollType must not exceed 1 characters.</t>
  </si>
  <si>
    <t>`owcpRollType` IS NULL OR (length(`owcpRollType`) &lt;= 1)</t>
  </si>
  <si>
    <t>`owcpRollType` IS NULL OR length(cast(`owcpRollType` as string)) &lt;= 1 /* schema:optional, valid:field_match, datafiles:match, db:column_match */ | baseline: `owcpRollType` IS NULL OR (length(`owcpRollType`) &lt;= 1)</t>
  </si>
  <si>
    <t>VAL-01397</t>
  </si>
  <si>
    <t>ERR-EMP-01397</t>
  </si>
  <si>
    <t>owcpTerminationIndicator</t>
  </si>
  <si>
    <t>owcpTerminationIndicator must match JSON Schema type boolean or null.</t>
  </si>
  <si>
    <t>`owcpTerminationIndicator` IS NULL OR (typeof(`owcpTerminationIndicator`) = 'boolean')</t>
  </si>
  <si>
    <t>`owcpTerminationIndicator` IS NULL OR upper(trim(cast(`owcpTerminationIndicator` as string))) IN ('Y','N','TRUE','FALSE','1','0') /* schema:optional, valid:field_match, datafiles:match, db:column_match */ | baseline: `owcpTerminationIndicator` IS NULL OR (typeof(`owcpTerminationIndicator`) = 'boolean')</t>
  </si>
  <si>
    <t>Data Files07102026.xlsx::Employment!row 60; User-provided Employment JSON Schema/common definitions</t>
  </si>
  <si>
    <t>VAL-01400</t>
  </si>
  <si>
    <t>ERR-EMP-01400</t>
  </si>
  <si>
    <t>owcpTransferInIndicator</t>
  </si>
  <si>
    <t>owcpTransferInIndicator must match JSON Schema type boolean or null.</t>
  </si>
  <si>
    <t>`owcpTransferInIndicator` IS NULL OR (typeof(`owcpTransferInIndicator`) = 'boolean')</t>
  </si>
  <si>
    <t>`owcpTransferInIndicator` IS NULL OR upper(trim(cast(`owcpTransferInIndicator` as string))) IN ('Y','N','TRUE','FALSE','1','0') /* schema:optional, valid:field_match, datafiles:match, db:column_match */ | baseline: `owcpTransferInIndicator` IS NULL OR (typeof(`owcpTransferInIndicator`) = 'boolean')</t>
  </si>
  <si>
    <t>Data Files07102026.xlsx::Employment!row 61; User-provided Employment JSON Schema/common definitions</t>
  </si>
  <si>
    <t>VAL-01345</t>
  </si>
  <si>
    <t>ERR-EMP-01345</t>
  </si>
  <si>
    <t>payLevel</t>
  </si>
  <si>
    <t>payLevel must match JSON Schema type string or null.</t>
  </si>
  <si>
    <t>`payLevel` IS NULL OR (typeof(`payLevel`) = 'string')</t>
  </si>
  <si>
    <t>`payLevel` IS NULL OR typeof(`payLevel`) = 'string' /* schema:optional, valid:no_match, datafiles:match, db:check_mapping */ | baseline: `payLevel` IS NULL OR (typeof(`payLevel`) = 'string')</t>
  </si>
  <si>
    <t>2-character code indicating the specific salary within a grade for GS employees, documented on SF-50 Block 19. WGI waiting periods: Steps 1-3=52 weeks. Steps 4-6=104 weeks. Steps 7-9=156 weeks at acceptable performance. WG/WL/WS: 00. ES/SL/ST: E. This is the default set but must be expandable.; Schema-aligned structural validation; raw JSON Schema validation occurs before Spark parsing.</t>
  </si>
  <si>
    <t>Data Files07102026.xlsx::Employment!row 42; User-provided Employment JSON Schema/common definitions</t>
  </si>
  <si>
    <t>VAL-01346</t>
  </si>
  <si>
    <t>ERR-EMP-01346</t>
  </si>
  <si>
    <t>payLevel must not exceed 8 characters.</t>
  </si>
  <si>
    <t>`payLevel` IS NULL OR (length(`payLevel`) &lt;= 8)</t>
  </si>
  <si>
    <t>`payLevel` IS NULL OR length(cast(`payLevel` as string)) &lt;= 8 /* schema:optional, valid:no_match, datafiles:match, db:check_mapping */ | baseline: `payLevel` IS NULL OR (length(`payLevel`) &lt;= 8)</t>
  </si>
  <si>
    <t>VAL-01339</t>
  </si>
  <si>
    <t>ERR-EMP-01339</t>
  </si>
  <si>
    <t>payPlan</t>
  </si>
  <si>
    <t>payPlan must match JSON Schema type string or null.</t>
  </si>
  <si>
    <t>`payPlan` IS NULL OR (typeof(`payPlan`) = 'string')</t>
  </si>
  <si>
    <t>`payPlan` IS NULL OR typeof(`payPlan`) = 'string' /* schema:optional, valid:no_match, datafiles:match, db:check_mapping */ | baseline: `payPlan` IS NULL OR (typeof(`payPlan`) = 'string')</t>
  </si>
  <si>
    <t>2-character code identifying the federal pay schedule governing the employee's compensation structure, documented on SF-50 Block 16. GS=General Schedule. WG=Wage Grade. WL=Wage Leader. WS=Wage Supervisor. ES=SES. EX=Executive Schedule. VN=VA Nurse. VM=VA Physician. This is the default set but must be expandable.; Schema-aligned structural validation; raw JSON Schema validation occurs before Spark parsing.</t>
  </si>
  <si>
    <t>Data Files07102026.xlsx::Employment!row 40; User-provided Employment JSON Schema/common definitions</t>
  </si>
  <si>
    <t>VAL-01340</t>
  </si>
  <si>
    <t>ERR-EMP-01340</t>
  </si>
  <si>
    <t>payPlan must not exceed 8 characters.</t>
  </si>
  <si>
    <t>`payPlan` IS NULL OR (length(`payPlan`) &lt;= 8)</t>
  </si>
  <si>
    <t>`payPlan` IS NULL OR length(cast(`payPlan` as string)) &lt;= 8 /* schema:optional, valid:no_match, datafiles:match, db:check_mapping */ | baseline: `payPlan` IS NULL OR (length(`payPlan`) &lt;= 8)</t>
  </si>
  <si>
    <t>VAL-01380</t>
  </si>
  <si>
    <t>ERR-EMP-01380</t>
  </si>
  <si>
    <t>payrollOfficeId</t>
  </si>
  <si>
    <t>payrollOfficeId must match JSON Schema type string or null.</t>
  </si>
  <si>
    <t>`payrollOfficeId` IS NULL OR (typeof(`payrollOfficeId`) = 'string')</t>
  </si>
  <si>
    <t>`payrollOfficeId` IS NULL OR typeof(`payrollOfficeId`) = 'string' /* schema:optional, valid:field_match, datafiles:match, db:column_match */ | baseline: `payrollOfficeId` IS NULL OR (typeof(`payrollOfficeId`) = 'string')</t>
  </si>
  <si>
    <t>Data Files07102026.xlsx::Employment!row 54; User-provided Employment JSON Schema/common definitions</t>
  </si>
  <si>
    <t>VAL-01381</t>
  </si>
  <si>
    <t>ERR-EMP-01381</t>
  </si>
  <si>
    <t>payrollOfficeId must not exceed 8 characters.</t>
  </si>
  <si>
    <t>`payrollOfficeId` IS NULL OR (length(`payrollOfficeId`) &lt;= 8)</t>
  </si>
  <si>
    <t>`payrollOfficeId` IS NULL OR length(cast(`payrollOfficeId` as string)) &lt;= 8 /* schema:optional, valid:field_match, datafiles:match, db:column_match */ | baseline: `payrollOfficeId` IS NULL OR (length(`payrollOfficeId`) &lt;= 8)</t>
  </si>
  <si>
    <t>VAL-01333</t>
  </si>
  <si>
    <t>ERR-EMP-01333</t>
  </si>
  <si>
    <t>positionNumber</t>
  </si>
  <si>
    <t>positionNumber must match JSON Schema type string or null.</t>
  </si>
  <si>
    <t>`positionNumber` IS NULL OR (typeof(`positionNumber`) = 'string')</t>
  </si>
  <si>
    <t>`positionNumber` IS NULL OR cast(`positionNumber` as decimal(38,10)) IS NOT NULL /* schema:optional, valid:no_match, datafiles:match, db:column_match */ | baseline: `positionNumber` IS NULL OR (typeof(`positionNumber`) = 'string')</t>
  </si>
  <si>
    <t>Please see "Position Number" sheet that contains state's position code. Configurable to client.; Schema-aligned structural validation; raw JSON Schema validation occurs before Spark parsing.</t>
  </si>
  <si>
    <t>Data Files07102026.xlsx::Employment!row 38; User-provided Employment JSON Schema/common definitions</t>
  </si>
  <si>
    <t>VAL-01334</t>
  </si>
  <si>
    <t>ERR-EMP-01334</t>
  </si>
  <si>
    <t>positionNumber must not exceed 20 characters.</t>
  </si>
  <si>
    <t>`positionNumber` IS NULL OR (length(`positionNumber`) &lt;= 20)</t>
  </si>
  <si>
    <t>`positionNumber` IS NULL OR length(cast(`positionNumber` as string)) &lt;= 20 /* schema:optional, valid:no_match, datafiles:match, db:column_match */ | baseline: `positionNumber` IS NULL OR (length(`positionNumber`) &lt;= 20)</t>
  </si>
  <si>
    <t>VAL-01308</t>
  </si>
  <si>
    <t>ERR-EMP-01308</t>
  </si>
  <si>
    <t>positionStatus</t>
  </si>
  <si>
    <t>positionStatus must match JSON Schema type string or null.</t>
  </si>
  <si>
    <t>`positionStatus` IS NULL OR (typeof(`positionStatus`) = 'string')</t>
  </si>
  <si>
    <t>`positionStatus` IS NULL OR typeof(`positionStatus`) = 'string' /* schema:optional, valid:no_match, datafiles:match, db:column_match */ | baseline: `positionStatus` IS NULL OR (typeof(`positionStatus`) = 'string')</t>
  </si>
  <si>
    <t>01, 02, 03, 04, 05</t>
  </si>
  <si>
    <t>Data Files07102026.xlsx::Employment!row 28; User-provided Employment JSON Schema/common definitions</t>
  </si>
  <si>
    <t>VAL-01415</t>
  </si>
  <si>
    <t>ERR-EMP-01415</t>
  </si>
  <si>
    <t>preTaxHealthBenefitIndicator</t>
  </si>
  <si>
    <t>preTaxHealthBenefitIndicator must match JSON Schema type boolean or null.</t>
  </si>
  <si>
    <t>`preTaxHealthBenefitIndicator` IS NULL OR (typeof(`preTaxHealthBenefitIndicator`) = 'boolean')</t>
  </si>
  <si>
    <t>`preTaxHealthBenefitIndicator` IS NULL OR upper(trim(cast(`preTaxHealthBenefitIndicator` as string))) IN ('Y','N','TRUE','FALSE','1','0') /* schema:optional, valid:field_match, datafiles:match, db:column_match */ | baseline: `preTaxHealthBenefitIndicator` IS NULL OR (typeof(`preTaxHealthBenefitIndicator`) = 'boolean')</t>
  </si>
  <si>
    <t>Data Files07102026.xlsx::Employment!row 66; User-provided Employment JSON Schema/common definitions</t>
  </si>
  <si>
    <t>VAL-02944</t>
  </si>
  <si>
    <t>ERR-EMP-02944</t>
  </si>
  <si>
    <t>productModule</t>
  </si>
  <si>
    <t>productModule is required and must not be blank.</t>
  </si>
  <si>
    <t>`productModule` IS NOT NULL AND trim(`productModule`) &lt;&gt; ''</t>
  </si>
  <si>
    <t>`productModule` IS NOT NULL AND trim(cast(`productModule` as string)) &lt;&gt; '' /* schema:required, valid:no_match, datafiles:check, db:column_match */ | baseline: `productModule` IS NOT NULL AND trim(`productModule`) &lt;&gt; ''</t>
  </si>
  <si>
    <t>SmartDev</t>
  </si>
  <si>
    <t>VAL-02943</t>
  </si>
  <si>
    <t>ERR-EMP-02943</t>
  </si>
  <si>
    <t>productModule must match JSON Schema type string.</t>
  </si>
  <si>
    <t>`productModule` IS NULL OR (typeof(`productModule`) = 'string')</t>
  </si>
  <si>
    <t>`productModule` IS NULL OR typeof(`productModule`) = 'string' /* schema:required, valid:no_match, datafiles:check, db:column_match */ | baseline: `productModule` IS NULL OR (typeof(`productModule`) = 'string')</t>
  </si>
  <si>
    <t>VAL-01377</t>
  </si>
  <si>
    <t>ERR-EMP-01377</t>
  </si>
  <si>
    <t>pshbEligibilityEffectiveDate</t>
  </si>
  <si>
    <t>pshbEligibilityEffectiveDate must match JSON Schema type string or null and format yyyy-MM-dd.</t>
  </si>
  <si>
    <t>`pshbEligibilityEffectiveDate` IS NULL OR (typeof(`pshbEligibilityEffectiveDate`) = 'string')</t>
  </si>
  <si>
    <t>`pshbEligibilityEffectiveDate` IS NULL OR to_date(cast(`pshbEligibilityEffectiveDate` as string), 'yyyy-MM-dd') IS NOT NULL /* schema:required, valid:field_match, datafiles:match, db:column_match */ | baseline: `pshbEligibilityEffectiveDate` IS NULL OR (typeof(`pshbEligibilityEffectiveDate`) = 'string')</t>
  </si>
  <si>
    <t>Data Files07102026.xlsx::Employment!row 53; User-provided Employment JSON Schema/common definitions</t>
  </si>
  <si>
    <t>VAL-01374</t>
  </si>
  <si>
    <t>ERR-EMP-01374</t>
  </si>
  <si>
    <t>pshbEligibilityStatus</t>
  </si>
  <si>
    <t>pshbEligibilityStatus must match JSON Schema type string or null.</t>
  </si>
  <si>
    <t>`pshbEligibilityStatus` IS NULL OR (typeof(`pshbEligibilityStatus`) = 'string')</t>
  </si>
  <si>
    <t>`pshbEligibilityStatus` IS NULL OR typeof(`pshbEligibilityStatus`) = 'string' /* schema:optional, valid:field_match, datafiles:match, db:column_match */ | baseline: `pshbEligibilityStatus` IS NULL OR (typeof(`pshbEligibilityStatus`) = 'string')</t>
  </si>
  <si>
    <t>E</t>
  </si>
  <si>
    <t>Data Files07102026.xlsx::Employment!row 52; User-provided Employment JSON Schema/common definitions</t>
  </si>
  <si>
    <t>VAL-01375</t>
  </si>
  <si>
    <t>ERR-EMP-01375</t>
  </si>
  <si>
    <t>pshbEligibilityStatus must not exceed 1 characters.</t>
  </si>
  <si>
    <t>`pshbEligibilityStatus` IS NULL OR (length(`pshbEligibilityStatus`) &lt;= 1)</t>
  </si>
  <si>
    <t>`pshbEligibilityStatus` IS NULL OR length(cast(`pshbEligibilityStatus` as string)) &lt;= 1 /* schema:optional, valid:field_match, datafiles:match, db:column_match */ | baseline: `pshbEligibilityStatus` IS NULL OR (length(`pshbEligibilityStatus`) &lt;= 1)</t>
  </si>
  <si>
    <t>VAL-01385</t>
  </si>
  <si>
    <t>ERR-EMP-01385</t>
  </si>
  <si>
    <t>pshbRateCategoryCode</t>
  </si>
  <si>
    <t>pshbRateCategoryCode must match JSON Schema type string or null.</t>
  </si>
  <si>
    <t>`pshbRateCategoryCode` IS NULL OR (typeof(`pshbRateCategoryCode`) = 'string')</t>
  </si>
  <si>
    <t>`pshbRateCategoryCode` IS NULL OR typeof(`pshbRateCategoryCode`) = 'string' /* schema:optional, valid:field_match, datafiles:match, db:column_match */ | baseline: `pshbRateCategoryCode` IS NULL OR (typeof(`pshbRateCategoryCode`) = 'string')</t>
  </si>
  <si>
    <t>C</t>
  </si>
  <si>
    <t>Data Files07102026.xlsx::Employment!row 56; User-provided Employment JSON Schema/common definitions</t>
  </si>
  <si>
    <t>VAL-01386</t>
  </si>
  <si>
    <t>ERR-EMP-01386</t>
  </si>
  <si>
    <t>pshbRateCategoryCode must not exceed 1 characters.</t>
  </si>
  <si>
    <t>`pshbRateCategoryCode` IS NULL OR (length(`pshbRateCategoryCode`) &lt;= 1)</t>
  </si>
  <si>
    <t>`pshbRateCategoryCode` IS NULL OR length(cast(`pshbRateCategoryCode` as string)) &lt;= 1 /* schema:optional, valid:field_match, datafiles:match, db:column_match */ | baseline: `pshbRateCategoryCode` IS NULL OR (length(`pshbRateCategoryCode`) &lt;= 1)</t>
  </si>
  <si>
    <t>VAL-01382</t>
  </si>
  <si>
    <t>ERR-EMP-01382</t>
  </si>
  <si>
    <t>pshbRateScheduleCode</t>
  </si>
  <si>
    <t>pshbRateScheduleCode must match JSON Schema type string or null.</t>
  </si>
  <si>
    <t>`pshbRateScheduleCode` IS NULL OR (typeof(`pshbRateScheduleCode`) = 'string')</t>
  </si>
  <si>
    <t>`pshbRateScheduleCode` IS NULL OR typeof(`pshbRateScheduleCode`) = 'string' /* schema:optional, valid:field_match, datafiles:match, db:check_mapping */ | baseline: `pshbRateScheduleCode` IS NULL OR (typeof(`pshbRateScheduleCode`) = 'string')</t>
  </si>
  <si>
    <t>PB</t>
  </si>
  <si>
    <t>Data Files07102026.xlsx::Employment!row 55; User-provided Employment JSON Schema/common definitions</t>
  </si>
  <si>
    <t>VAL-01383</t>
  </si>
  <si>
    <t>ERR-EMP-01383</t>
  </si>
  <si>
    <t>pshbRateScheduleCode must not exceed 2 characters.</t>
  </si>
  <si>
    <t>`pshbRateScheduleCode` IS NULL OR (length(`pshbRateScheduleCode`) &lt;= 2)</t>
  </si>
  <si>
    <t>`pshbRateScheduleCode` IS NULL OR length(cast(`pshbRateScheduleCode` as string)) &lt;= 2 /* schema:optional, valid:field_match, datafiles:match, db:check_mapping */ | baseline: `pshbRateScheduleCode` IS NULL OR (length(`pshbRateScheduleCode`) &lt;= 2)</t>
  </si>
  <si>
    <t>VAL-01300</t>
  </si>
  <si>
    <t>ERR-EMP-01300</t>
  </si>
  <si>
    <t>reason</t>
  </si>
  <si>
    <t>reason must match JSON Schema type string or null.</t>
  </si>
  <si>
    <t>`reason` IS NULL OR (typeof(`reason`) = 'string')</t>
  </si>
  <si>
    <t>`reason` IS NULL OR typeof(`reason`) = 'string' /* schema:optional, valid:no_match, datafiles:match, db:column_match */ | baseline: `reason` IS NULL OR (typeof(`reason`) = 'string')</t>
  </si>
  <si>
    <t>01=A New Hire Into Organization, 02=Temporary Higher Role, 03=Initial Appointment, 04=Rehire After Termination, 05=Return From Leave, 06=Leave With Pay (LWP), 07=Trainee/Training Status, 08=Military Leave (USERRA), 09=Leave Without Pay (LWOP), 10=Workers’ Compensation (OWCP), 11=Furloughed, 12=Suspended - Pending Investigation, 13=Parental Leave, 14=Sabbatical / Educational Leave, 15=Administrative Leave, 16=Donated Leave / Leave Bank, 17=Weather And Safety Leave, 18=Personal, 19=Medical, 20=Family And Medical Leave, 21=Unpaid FMLA, 22=Unpaid Maternity, 23=Unpaid Medical Leave, 24=Unpaid Military, 25=Unpaid Worman's Comp</t>
  </si>
  <si>
    <t>Represents the HR reason associated with an action; Cross reference with "Emp Status Map"; Codes are coming on the data file; Schema-aligned structural validation; raw JSON Schema validation occurs before Spark parsing.</t>
  </si>
  <si>
    <t>Data Files07102026.xlsx::Employment!row 25; User-provided Employment JSON Schema/common definitions</t>
  </si>
  <si>
    <t>VAL-01412</t>
  </si>
  <si>
    <t>ERR-EMP-01412</t>
  </si>
  <si>
    <t>reEmployedAnnuitantIndicator</t>
  </si>
  <si>
    <t>reEmployedAnnuitantIndicator must match JSON Schema type boolean or null.</t>
  </si>
  <si>
    <t>`reEmployedAnnuitantIndicator` IS NULL OR (typeof(`reEmployedAnnuitantIndicator`) = 'boolean')</t>
  </si>
  <si>
    <t>`reEmployedAnnuitantIndicator` IS NULL OR upper(trim(cast(`reEmployedAnnuitantIndicator` as string))) IN ('Y','N','TRUE','FALSE','1','0') /* schema:optional, valid:field_match, datafiles:match, db:column_match */ | baseline: `reEmployedAnnuitantIndicator` IS NULL OR (typeof(`reEmployedAnnuitantIndicator`) = 'boolean')</t>
  </si>
  <si>
    <t>Data Files07102026.xlsx::Employment!row 65; User-provided Employment JSON Schema/common definitions</t>
  </si>
  <si>
    <t>VAL-01319</t>
  </si>
  <si>
    <t>ERR-EMP-01319</t>
  </si>
  <si>
    <t>region</t>
  </si>
  <si>
    <t>region must match JSON Schema type string or null.</t>
  </si>
  <si>
    <t>`region` IS NULL OR (typeof(`region`) = 'string')</t>
  </si>
  <si>
    <t>`region` IS NULL OR typeof(`region`) = 'string' /* schema:optional, valid:no_match, datafiles:match, db:column_match */ | baseline: `region` IS NULL OR (typeof(`region`) = 'string')</t>
  </si>
  <si>
    <t>Central
East Region</t>
  </si>
  <si>
    <t>Data Files07102026.xlsx::Employment!row 32; User-provided Employment JSON Schema/common definitions</t>
  </si>
  <si>
    <t>VAL-01320</t>
  </si>
  <si>
    <t>ERR-EMP-01320</t>
  </si>
  <si>
    <t>region must not exceed 20 characters.</t>
  </si>
  <si>
    <t>`region` IS NULL OR (length(`region`) &lt;= 20)</t>
  </si>
  <si>
    <t>`region` IS NULL OR length(cast(`region` as string)) &lt;= 20 /* schema:optional, valid:no_match, datafiles:match, db:column_match */ | baseline: `region` IS NULL OR (length(`region`) &lt;= 20)</t>
  </si>
  <si>
    <t>VAL-01409</t>
  </si>
  <si>
    <t>ERR-EMP-01409</t>
  </si>
  <si>
    <t>reinstatementDate</t>
  </si>
  <si>
    <t>reinstatementDate must match JSON Schema type string or null and format yyyy-MM-dd.</t>
  </si>
  <si>
    <t>`reinstatementDate` IS NULL OR (typeof(`reinstatementDate`) = 'string')</t>
  </si>
  <si>
    <t>`reinstatementDate` IS NULL OR to_date(cast(`reinstatementDate` as string), 'yyyy-MM-dd') IS NOT NULL /* schema:optional, valid:field_match, datafiles:match, db:column_match */ | baseline: `reinstatementDate` IS NULL OR (typeof(`reinstatementDate`) = 'string')</t>
  </si>
  <si>
    <t>Data Files07102026.xlsx::Employment!row 64; User-provided Employment JSON Schema/common definitions</t>
  </si>
  <si>
    <t>VAL-01391</t>
  </si>
  <si>
    <t>ERR-EMP-01391</t>
  </si>
  <si>
    <t>rsActionCode</t>
  </si>
  <si>
    <t>rsActionCode must match JSON Schema type string or null.</t>
  </si>
  <si>
    <t>`rsActionCode` IS NULL OR (typeof(`rsActionCode`) = 'string')</t>
  </si>
  <si>
    <t>`rsActionCode` IS NULL OR typeof(`rsActionCode`) = 'string' /* schema:optional, valid:field_match, datafiles:match, db:column_match */ | baseline: `rsActionCode` IS NULL OR (typeof(`rsActionCode`) = 'string')</t>
  </si>
  <si>
    <t>≤ 3 characters</t>
  </si>
  <si>
    <t>A01</t>
  </si>
  <si>
    <t>Data Files07102026.xlsx::Employment!row 58; User-provided Employment JSON Schema/common definitions</t>
  </si>
  <si>
    <t>VAL-01392</t>
  </si>
  <si>
    <t>ERR-EMP-01392</t>
  </si>
  <si>
    <t>rsActionCode must not exceed 3 characters.</t>
  </si>
  <si>
    <t>`rsActionCode` IS NULL OR (length(`rsActionCode`) &lt;= 3)</t>
  </si>
  <si>
    <t>`rsActionCode` IS NULL OR length(cast(`rsActionCode` as string)) &lt;= 3 /* schema:optional, valid:field_match, datafiles:match, db:column_match */ | baseline: `rsActionCode` IS NULL OR (length(`rsActionCode`) &lt;= 3)</t>
  </si>
  <si>
    <t>VAL-01348</t>
  </si>
  <si>
    <t>ERR-EMP-01348</t>
  </si>
  <si>
    <t>salaryRateCode</t>
  </si>
  <si>
    <t>salaryRateCode must match JSON Schema type string or null.</t>
  </si>
  <si>
    <t>`salaryRateCode` IS NULL OR (typeof(`salaryRateCode`) = 'string')</t>
  </si>
  <si>
    <t>`salaryRateCode` IS NULL OR typeof(`salaryRateCode`) = 'string' /* schema:optional, valid:no_match, datafiles:match, db:column_match */ | baseline: `salaryRateCode` IS NULL OR (typeof(`salaryRateCode`) = 'string')</t>
  </si>
  <si>
    <t>2-character code indicating the time or production basis used to calculate the employee's compensation, documented on SF-50 Block 21. PA=Per Annum (standard GS). PH=Per Hour (WG/WL/WS). BW=Biweekly. SY=School Year. ST=Student. CY=Cyber. WC=Without Compensation. Monthly MO is NOT a valid OPM Pay Basis code.; Schema-aligned structural validation; raw JSON Schema validation occurs before Spark parsing.</t>
  </si>
  <si>
    <t>Data Files07102026.xlsx::Employment!row 43; User-provided Employment JSON Schema/common definitions</t>
  </si>
  <si>
    <t>VAL-01349</t>
  </si>
  <si>
    <t>ERR-EMP-01349</t>
  </si>
  <si>
    <t>salaryRateCode must not exceed 8 characters.</t>
  </si>
  <si>
    <t>`salaryRateCode` IS NULL OR (length(`salaryRateCode`) &lt;= 8)</t>
  </si>
  <si>
    <t>`salaryRateCode` IS NULL OR length(cast(`salaryRateCode` as string)) &lt;= 8 /* schema:optional, valid:no_match, datafiles:match, db:column_match */ | baseline: `salaryRateCode` IS NULL OR (length(`salaryRateCode`) &lt;= 8)</t>
  </si>
  <si>
    <t>VAL-01274</t>
  </si>
  <si>
    <t>ERR-EMP-01274</t>
  </si>
  <si>
    <t>sourceAssignmentId must match JSON Schema type string or null.</t>
  </si>
  <si>
    <t>`sourceAssignmentId` IS NULL OR typeof(`sourceAssignmentId`) = 'string' /* schema:optional, valid:field_match, datafiles:match, db:column_match */ | baseline: `sourceAssignmentId` IS NULL OR (typeof(`sourceAssignmentId`) = 'string')</t>
  </si>
  <si>
    <t>An assignment key that identifies the job in case of employee having the same employee id across multiple job under the same employer; Schema-aligned structural validation; raw JSON Schema validation occurs before Spark parsing.</t>
  </si>
  <si>
    <t>Data Files07102026.xlsx::Employment!row 18; User-provided Employment JSON Schema/common definitions</t>
  </si>
  <si>
    <t>VAL-01242</t>
  </si>
  <si>
    <t>ERR-EMP-01242</t>
  </si>
  <si>
    <t>sourceFileName must match JSON Schema type string or null.</t>
  </si>
  <si>
    <t>`sourceFileName` IS NULL OR typeof(`sourceFileName`) = 'string' /* schema:optional, valid:no_match, datafiles:match, db:column_match */ | baseline: `sourceFileName` IS NULL OR (typeof(`sourceFileName`) = 'string')</t>
  </si>
  <si>
    <t>01_EMPLOY_MMDDYYYY</t>
  </si>
  <si>
    <t>Unique file name for each type of file (e.g. Personal, Employment, Relationship...); Schema-aligned structural validation; raw JSON Schema validation occurs before Spark parsing.</t>
  </si>
  <si>
    <t>Data Files07102026.xlsx::Employment!row 7; User-provided Employment JSON Schema/common definitions</t>
  </si>
  <si>
    <t>VAL-01243</t>
  </si>
  <si>
    <t>ERR-EMP-01243</t>
  </si>
  <si>
    <t>VAL-02949</t>
  </si>
  <si>
    <t>ERR-EMP-02949</t>
  </si>
  <si>
    <t>sourceSystem</t>
  </si>
  <si>
    <t>sourceSystem is required and must not be blank.</t>
  </si>
  <si>
    <t>`sourceSystem` IS NOT NULL AND trim(`sourceSystem`) &lt;&gt; ''</t>
  </si>
  <si>
    <t>`sourceSystem` IS NOT NULL AND trim(cast(`sourceSystem` as string)) &lt;&gt; '' /* schema:required, valid:no_match, datafiles:check, db:column_match */ | baseline: `sourceSystem` IS NOT NULL AND trim(`sourceSystem`) &lt;&gt; ''</t>
  </si>
  <si>
    <t> Field not present in required list of fields</t>
  </si>
  <si>
    <t>VAL-02948</t>
  </si>
  <si>
    <t>ERR-EMP-02948</t>
  </si>
  <si>
    <t>sourceSystem must match JSON Schema type string.</t>
  </si>
  <si>
    <t>`sourceSystem` IS NULL OR (typeof(`sourceSystem`) = 'string')</t>
  </si>
  <si>
    <t>`sourceSystem` IS NULL OR typeof(`sourceSystem`) = 'string' /* schema:required, valid:no_match, datafiles:check, db:column_match */ | baseline: `sourceSystem` IS NULL OR (typeof(`sourceSystem`) = 'string')</t>
  </si>
  <si>
    <t>VAL-01360</t>
  </si>
  <si>
    <t>ERR-EMP-01360</t>
  </si>
  <si>
    <t>specialEmployeeCode</t>
  </si>
  <si>
    <t>specialEmployeeCode must match JSON Schema type string or null.</t>
  </si>
  <si>
    <t>`specialEmployeeCode` IS NULL OR (typeof(`specialEmployeeCode`) = 'string')</t>
  </si>
  <si>
    <t>`specialEmployeeCode` IS NULL OR typeof(`specialEmployeeCode`) = 'string' /* schema:optional, valid:no_match, datafiles:match, db:check_mapping */ | baseline: `specialEmployeeCode` IS NULL OR (typeof(`specialEmployeeCode`) = 'string')</t>
  </si>
  <si>
    <t>Agency/retirement-system-specific code identifying employees with enhanced retirement provisions such as law enforcement officers and firefighters, transmitted in the FESI102 pension feed (not in EHRI HR Status). 1=LEO 6(c). 2=Firefighter. 3=Nuclear Materials Courier. 4=Capitol Police. 5=Supreme Court Police. 6=CBP Officer.; Schema-aligned structural validation; raw JSON Schema validation occurs before Spark parsing.</t>
  </si>
  <si>
    <t>Data Files07102026.xlsx::Employment!row 47; User-provided Employment JSON Schema/common definitions</t>
  </si>
  <si>
    <t>VAL-01361</t>
  </si>
  <si>
    <t>ERR-EMP-01361</t>
  </si>
  <si>
    <t>specialEmployeeCode must not exceed 10 characters.</t>
  </si>
  <si>
    <t>`specialEmployeeCode` IS NULL OR (length(`specialEmployeeCode`) &lt;= 10)</t>
  </si>
  <si>
    <t>`specialEmployeeCode` IS NULL OR length(cast(`specialEmployeeCode` as string)) &lt;= 10 /* schema:optional, valid:no_match, datafiles:match, db:check_mapping */ | baseline: `specialEmployeeCode` IS NULL OR (length(`specialEmployeeCode`) &lt;= 10)</t>
  </si>
  <si>
    <t>VAL-01292</t>
  </si>
  <si>
    <t>ERR-EMP-01292</t>
  </si>
  <si>
    <t>status</t>
  </si>
  <si>
    <t>status must match JSON Schema type string or null.</t>
  </si>
  <si>
    <t>`status` IS NULL OR (typeof(`status`) = 'string')</t>
  </si>
  <si>
    <t>`status` IS NULL OR typeof(`status`) = 'string' /* schema:optional, valid:no_match, datafiles:match, db:column_match */ | baseline: `status` IS NULL OR (typeof(`status`) = 'string')</t>
  </si>
  <si>
    <t>ACT, TERM, LOA, DTH, DIS, DIV</t>
  </si>
  <si>
    <t>If not provided, derive value based on mappings; Schema-aligned structural validation; raw JSON Schema validation occurs before Spark parsing.</t>
  </si>
  <si>
    <t>Data Files07102026.xlsx::Employment!row 23; User-provided Employment JSON Schema/common definitions</t>
  </si>
  <si>
    <t>VAL-01372</t>
  </si>
  <si>
    <t>ERR-EMP-01372</t>
  </si>
  <si>
    <t>tenure</t>
  </si>
  <si>
    <t>tenure must match JSON Schema type string or null.</t>
  </si>
  <si>
    <t>`tenure` IS NULL OR (typeof(`tenure`) = 'string')</t>
  </si>
  <si>
    <t>`tenure` IS NULL OR typeof(`tenure`) = 'string' /* schema:optional, valid:no_match, datafiles:match, db:check_mapping */ | baseline: `tenure` IS NULL OR (typeof(`tenure`) = 'string')</t>
  </si>
  <si>
    <t>Classifies the permanence of the employee's federal appointment per SF-50 Block 24, used for RIF retention order and benefit eligibility determination. NUMBER(1). 0=No appointment. 1=Permanent. 2=Conditional (career-conditional year 1). 3=Indefinite. Priority 1 required.; Schema-aligned structural validation; raw JSON Schema validation occurs before Spark parsing.</t>
  </si>
  <si>
    <t>Data Files07102026.xlsx::Employment!row 51; User-provided Employment JSON Schema/common definitions</t>
  </si>
  <si>
    <t>VAL-01373</t>
  </si>
  <si>
    <t>ERR-EMP-01373</t>
  </si>
  <si>
    <t>tenure must not exceed 4 characters.</t>
  </si>
  <si>
    <t>`tenure` IS NULL OR (length(`tenure`) &lt;= 4)</t>
  </si>
  <si>
    <t>`tenure` IS NULL OR length(cast(`tenure` as string)) &lt;= 4 /* schema:optional, valid:no_match, datafiles:match, db:check_mapping */ | baseline: `tenure` IS NULL OR (length(`tenure`) &lt;= 4)</t>
  </si>
  <si>
    <t>VAL-01388</t>
  </si>
  <si>
    <t>ERR-EMP-01388</t>
  </si>
  <si>
    <t>terminationNoaCode</t>
  </si>
  <si>
    <t>terminationNoaCode must match JSON Schema type string or null.</t>
  </si>
  <si>
    <t>`terminationNoaCode` IS NULL OR (typeof(`terminationNoaCode`) = 'string')</t>
  </si>
  <si>
    <t>`terminationNoaCode` IS NULL OR typeof(`terminationNoaCode`) = 'string' /* schema:optional, valid:field_match, datafiles:match, db:column_match */ | baseline: `terminationNoaCode` IS NULL OR (typeof(`terminationNoaCode`) = 'string')</t>
  </si>
  <si>
    <t>Data Files07102026.xlsx::Employment!row 57; User-provided Employment JSON Schema/common definitions</t>
  </si>
  <si>
    <t>VAL-01389</t>
  </si>
  <si>
    <t>ERR-EMP-01389</t>
  </si>
  <si>
    <t>terminationNoaCode must not exceed 3 characters.</t>
  </si>
  <si>
    <t>`terminationNoaCode` IS NULL OR (length(`terminationNoaCode`) &lt;= 3)</t>
  </si>
  <si>
    <t>`terminationNoaCode` IS NULL OR length(cast(`terminationNoaCode` as string)) &lt;= 3 /* schema:optional, valid:field_match, datafiles:match, db:column_match */ | baseline: `terminationNoaCode` IS NULL OR (length(`terminationNoaCode`) &lt;= 3)</t>
  </si>
  <si>
    <t>VAL-01403</t>
  </si>
  <si>
    <t>ERR-EMP-01403</t>
  </si>
  <si>
    <t>transferInEffectiveDate</t>
  </si>
  <si>
    <t>transferInEffectiveDate must match JSON Schema type string or null and format yyyy-MM-dd.</t>
  </si>
  <si>
    <t>`transferInEffectiveDate` IS NULL OR (typeof(`transferInEffectiveDate`) = 'string')</t>
  </si>
  <si>
    <t>`transferInEffectiveDate` IS NULL OR to_date(cast(`transferInEffectiveDate` as string), 'yyyy-MM-dd') IS NOT NULL /* schema:required, valid:field_match, datafiles:match, db:column_match */ | baseline: `transferInEffectiveDate` IS NULL OR (typeof(`transferInEffectiveDate`) = 'string')</t>
  </si>
  <si>
    <t>Data Files07102026.xlsx::Employment!row 62; User-provided Employment JSON Schema/common definitions</t>
  </si>
  <si>
    <t>VAL-01328</t>
  </si>
  <si>
    <t>ERR-EMP-01328</t>
  </si>
  <si>
    <t>unionAffiliation</t>
  </si>
  <si>
    <t>unionAffiliation must match JSON Schema type boolean or null.</t>
  </si>
  <si>
    <t>`unionAffiliation` IS NULL OR (typeof(`unionAffiliation`) = 'boolean')</t>
  </si>
  <si>
    <t>`unionAffiliation` IS NULL OR upper(trim(cast(`unionAffiliation` as string))) IN ('Y','N','TRUE','FALSE','1','0') /* schema:optional, valid:no_match, datafiles:match, db:check_mapping */ | baseline: `unionAffiliation` IS NULL OR (typeof(`unionAffiliation`) = 'boolean')</t>
  </si>
  <si>
    <t>Indicates whether an employee is part of a collective bargaining unit. Available options: - Yes - No; Schema-aligned structural validation; raw JSON Schema validation occurs before Spark parsing.</t>
  </si>
  <si>
    <t>Data Files07102026.xlsx::Employment!row 36; User-provided Employment JSON Schema/common definitions</t>
  </si>
  <si>
    <t>VAL-01330</t>
  </si>
  <si>
    <t>ERR-EMP-01330</t>
  </si>
  <si>
    <t>unionCode</t>
  </si>
  <si>
    <t>unionCode must match JSON Schema type string or null.</t>
  </si>
  <si>
    <t>`unionCode` IS NULL OR (typeof(`unionCode`) = 'string')</t>
  </si>
  <si>
    <t>`unionCode` IS NULL OR typeof(`unionCode`) = 'string' /* schema:optional, valid:no_match, datafiles:match, db:check_mapping */ | baseline: `unionCode` IS NULL OR (typeof(`unionCode`) = 'string')</t>
  </si>
  <si>
    <t>When union affiliation is yes, a code is stored in this field. Configurable to client.; Schema-aligned structural validation; raw JSON Schema validation occurs before Spark parsing.</t>
  </si>
  <si>
    <t>Data Files07102026.xlsx::Employment!row 37; User-provided Employment JSON Schema/common definitions</t>
  </si>
  <si>
    <t>VAL-01331</t>
  </si>
  <si>
    <t>ERR-EMP-01331</t>
  </si>
  <si>
    <t>unionCode must not exceed 20 characters.</t>
  </si>
  <si>
    <t>`unionCode` IS NULL OR (length(`unionCode`) &lt;= 20)</t>
  </si>
  <si>
    <t>`unionCode` IS NULL OR length(cast(`unionCode` as string)) &lt;= 20 /* schema:optional, valid:no_match, datafiles:match, db:check_mapping */ | baseline: `unionCode` IS NULL OR (length(`unionCode`) &lt;= 20)</t>
  </si>
  <si>
    <t>VAL-01288</t>
  </si>
  <si>
    <t>ERR-EMP-01288</t>
  </si>
  <si>
    <t>updateType</t>
  </si>
  <si>
    <t>updateType must match JSON Schema type string or null.</t>
  </si>
  <si>
    <t>`updateType` IS NULL OR (typeof(`updateType`) = 'string')</t>
  </si>
  <si>
    <t>`updateType` IS NULL OR typeof(`updateType`) = 'string' /* schema:optional, valid:field_match, datafiles:match, db:check_mapping */ | baseline: `updateType` IS NULL OR (typeof(`updateType`) = 'string')</t>
  </si>
  <si>
    <t>CURRENT</t>
  </si>
  <si>
    <t>Expect "PRIOR" for all records on the conversion file; Schema-aligned structural validation; raw JSON Schema validation occurs before Spark parsing.</t>
  </si>
  <si>
    <t>Data Files07102026.xlsx::Employment!row 22; User-provided Employment JSON Schema/common definitions</t>
  </si>
  <si>
    <t>VAL-01290</t>
  </si>
  <si>
    <t>ERR-EMP-01290</t>
  </si>
  <si>
    <t>updateType must be one of: CURRENT.</t>
  </si>
  <si>
    <t>`updateType` IS NULL OR (upper(trim(`updateType`)) IN ('CURRENT'))</t>
  </si>
  <si>
    <t>`updateType` IS NULL OR upper(trim(cast(`updateType` as string))) IN ('CURRENT') /* schema:optional, valid:field_match, datafiles:match, db:check_mapping */ | baseline: `updateType` IS NULL OR (upper(trim(`updateType`)) IN ('CURRENT'))</t>
  </si>
  <si>
    <t>VAL-01317</t>
  </si>
  <si>
    <t>ERR-EMP-01317</t>
  </si>
  <si>
    <t>workLocation</t>
  </si>
  <si>
    <t>workLocation must match JSON Schema type string or null.</t>
  </si>
  <si>
    <t>`workLocation` IS NULL OR (typeof(`workLocation`) = 'string')</t>
  </si>
  <si>
    <t>`workLocation` IS NULL OR typeof(`workLocation`) = 'string' /* schema:optional, valid:no_match, datafiles:match, db:check_mapping */ | baseline: `workLocation` IS NULL OR (typeof(`workLocation`) = 'string')</t>
  </si>
  <si>
    <t>Work location of employee; Schema-aligned structural validation; raw JSON Schema validation occurs before Spark parsing.</t>
  </si>
  <si>
    <t>Data Files07102026.xlsx::Employment!row 31; User-provided Employment JSON Schema/common definitions</t>
  </si>
  <si>
    <t>VAL-01318</t>
  </si>
  <si>
    <t>ERR-EMP-01318</t>
  </si>
  <si>
    <t>workLocation must not exceed 20 characters.</t>
  </si>
  <si>
    <t>`workLocation` IS NULL OR (length(`workLocation`) &lt;= 20)</t>
  </si>
  <si>
    <t>`workLocation` IS NULL OR length(cast(`workLocation` as string)) &lt;= 20 /* schema:optional, valid:no_match, datafiles:match, db:check_mapping */ | baseline: `workLocation` IS NULL OR (length(`workLocation`) &lt;= 20)</t>
  </si>
  <si>
    <t>VAL-01298</t>
  </si>
  <si>
    <t>ERR-EMP-01298</t>
  </si>
  <si>
    <t>action must be one of: HIR, RHIR, LOA, RTW, XFER, TRM, HRS, CLS, LOC, PAY, RET, DTH, DIV, DIS, CONT.</t>
  </si>
  <si>
    <t>`action` IS NULL OR (upper(trim(`action`)) IN ('HIR', 'RHIR', 'LOA', 'RTW', 'XFER', 'TRM', 'HRS', 'CLS', 'LOC', 'PAY', 'RET', 'DTH', 'DIV', 'DIS', 'CONT'))</t>
  </si>
  <si>
    <t>`action` IS NULL OR upper(trim(cast(`action` as string))) IN ('HIR', 'RHIR', 'LOA', 'RTW', 'XFER', 'TRM', 'HRS', 'CLS', 'LOC', 'PAY', 'RET', 'DTH', 'DIV', 'DIS', 'CONT') /* schema:optional, valid:no_match, datafiles:match, db:column_match */ | baseline: `action` IS NULL OR (upper(trim(`action`)) IN ('HIR', 'RHIR', 'LOA', 'RTW', 'XFER', 'TRM', 'HRS', 'CLS', 'LOC', 'PAY', 'RET', 'DTH', 'DIV', 'DIS', 'CONT'))</t>
  </si>
  <si>
    <t>Represents the HR action; Cross reference with "Emp Status Map"; Codes are coming on the data file; Allowed-value/reference checks are business validations unless the JSON Schema defines an enum.</t>
  </si>
  <si>
    <t>Data Files Excel candidate</t>
  </si>
  <si>
    <t>Data Files07102026.xlsx::Employment!row 24</t>
  </si>
  <si>
    <t>VAL-02836</t>
  </si>
  <si>
    <t>ERR-EMP-02836</t>
  </si>
  <si>
    <t>action, dutyStationCityCode, dutyStationCountyCode, dutyStationStateCode, effectiveDate, exempt, expatriate, ficaCode, sourceFileName</t>
  </si>
  <si>
    <t>REFERENCE</t>
  </si>
  <si>
    <t>REFERENCE_LOOKUP</t>
  </si>
  <si>
    <t>Coded fields must resolve to valid target crosswalk/reference values: Action, Create Timestamp, Duty Station City Code, Duty Station County Code, Duty Station State Code, Effective Date, Exempt, Expatriate, FICA Code, File Name, File Type.</t>
  </si>
  <si>
    <t>`action, dutyStationCityCode, dutyStationCountyCode, dutyStationStateCode, effectiveDate, exempt, expatriate, ficaCode, sourceFileName` IS NULL OR trim(cast(`action, dutyStationCityCode, dutyStationCountyCode, dutyStationStateCode, effectiveDate, exempt, expatriate, ficaCode, sourceFileName` as string)) &lt;&gt; '' /* schema:optional, valid:no_match, datafiles:match, db:column_match */</t>
  </si>
  <si>
    <t>The approved reference dataset, join key, and effective-dating policy are not identified.</t>
  </si>
  <si>
    <t>string, string (date), boolean</t>
  </si>
  <si>
    <t>≤ 8 characters; ≤ 4 characters; ≤ 255 characters</t>
  </si>
  <si>
    <t>Employer-code reference validation removed pending an approved allowed-values source. Other coded fields remain subject to crosswalk validation.; Removed non-schema Column Name values: Create Timestamp, File Type.</t>
  </si>
  <si>
    <t>Reference Table and examples</t>
  </si>
  <si>
    <t>VAL-02975</t>
  </si>
  <si>
    <t>ERR-EMP-02975</t>
  </si>
  <si>
    <t>action, employeeUniqueId, sourceAssignmentId</t>
  </si>
  <si>
    <t>Reported multiple Termination status.</t>
  </si>
  <si>
    <t>SUM(CASE WHEN `action` = 'TRM' THEN 1 ELSE 0 END) OVER (PARTITION BY `employeeUniqueId`, `sourceAssignmentId`) &lt;= 1</t>
  </si>
  <si>
    <t>SUM(CASE WHEN `action` = 'TRM' THEN 1 ELSE 0 END) OVER (PARTITION BY `employeeUniqueId`, `sourceAssignmentId`) &lt;= 1 /* schema:optional, valid:no_match, datafiles:match, db:column_match */</t>
  </si>
  <si>
    <t>1-64 characters; ≤ 12 characters</t>
  </si>
  <si>
    <t>Business rule retained - implementation required</t>
  </si>
  <si>
    <t>Validation List Field/Area: Multiple Termination. | Multiple Termination reported. | Applies to: Both; file scope: Both. | Adds the product warning for multiple termination rows.</t>
  </si>
  <si>
    <t>Business team Employment validation</t>
  </si>
  <si>
    <t>Validations List.xlsx::Employment::VAL0224</t>
  </si>
  <si>
    <t>VAL0224</t>
  </si>
  <si>
    <t>ERR-EMP-024</t>
  </si>
  <si>
    <t>VAL-02980</t>
  </si>
  <si>
    <t>ERR-EMP-02980</t>
  </si>
  <si>
    <t>action, employeeUniqueId, status</t>
  </si>
  <si>
    <t>If a member is inactive or terminated in conversion, history must include at least one active row and one inactive or termination row when applicable.</t>
  </si>
  <si>
    <t>MAX(
  CASE
    WHEN upper(trim(`status`)) IN ('TERM', 'DTH', 'DIS', 'DIV')
      OR upper(trim(`action`)) = 'TRM'
    THEN 1 ELSE 0
  END
) OVER (
  PARTITION BY `employeeUniqueId`
) = 0
OR
MAX(
  CASE
    WHEN upper(trim(`status`)) = 'ACT'
    THEN 1 ELSE 0
  END
) OVER (
  PARTITION BY `employeeUniqueId`
) = 1</t>
  </si>
  <si>
    <t>MAX(CASE WHEN `status` IN ('TERM', 'DTH', 'DIS', 'DIV') OR `action` = 'TRM' THEN 1 ELSE 0 END) OVER (PARTITION BY `employeeUniqueId`) = 0 OR (MAX(CASE WHEN `status` = 'ACT' THEN 1 ELSE 0 END) OVER (PARTITION BY `employeeUniqueId`) = 1 AND MAX(CASE WHEN `status` IN ('TERM', 'DTH', 'DIS', 'DIV') OR `action` = 'TRM' THEN 1 ELSE 0 END) OVER (PARTITION BY `employeeUniqueId`) = 1) /* schema:optional, valid:no_match, datafiles:match, db:column_match */</t>
  </si>
  <si>
    <t>HIR, RHIR, LOA, RTW, XFER, TRM, HRS, CLS, LOC, PAY, RET, DTH, DIV, DIS, CONT; ACT, TERM, LOA, DTH, DIS, DIV</t>
  </si>
  <si>
    <t>Validation List Field/Area: Detail Record. | Termination history completeness | Applies to: Conversion; file scope: Full File. | New member-level conversion-history requirement.</t>
  </si>
  <si>
    <t>Validations List.xlsx::Employment::VAL0262</t>
  </si>
  <si>
    <t>VAL0262</t>
  </si>
  <si>
    <t>ERR-EMP-062</t>
  </si>
  <si>
    <t>VAL-02957</t>
  </si>
  <si>
    <t>ERR-EMP-02957</t>
  </si>
  <si>
    <t>action, reason, status</t>
  </si>
  <si>
    <t>Status, Action, and Reason must be valid values and valid as a mapped combination</t>
  </si>
  <si>
    <t>`action, reason, status` IS NULL OR upper(trim(cast(`action, reason, status` as string))) IN ('HIR', 'RHIR', 'LOA', 'RTW', 'XFER', 'TRM', 'HRS', 'CLS', 'LOC', 'PAY', 'RET', 'DTH', 'DIV', 'DIS', 'CONT', 'ACT', 'TERM') /* schema:optional, valid:no_match, datafiles:match, db:column_match */</t>
  </si>
  <si>
    <t>Need input to derive the validation rule</t>
  </si>
  <si>
    <t>Business rule retained - mapped to existing validation; not separately executable</t>
  </si>
  <si>
    <t>Validation List Field/Area: Status / Action / Reason. | Invalid status combination. Status, Action, and Reason must be valid and compatible. | Applies to: Both; file scope: Both. | Mapped to datatype, allowed-value, and status-map checks.</t>
  </si>
  <si>
    <t>Validations List.xlsx::Employment::VAL0206</t>
  </si>
  <si>
    <t>VAL0206</t>
  </si>
  <si>
    <t>ERR-EMP-006</t>
  </si>
  <si>
    <t>VAL-02958</t>
  </si>
  <si>
    <t>ERR-EMP-02958</t>
  </si>
  <si>
    <t>If Status is omitted, derive it; if provided, it must match mapping result</t>
  </si>
  <si>
    <t>`action, reason, status` IS NULL OR trim(cast(`action, reason, status` as string)) &lt;&gt; '' /* schema:optional, valid:no_match, datafiles:match, db:column_match */</t>
  </si>
  <si>
    <t>Validation List Field/Area: Derived Status. | Status does not align to derived result from Action and Reason. | Applies to: Both; file scope: Both. | Mapped to status derivation and mapping validation.</t>
  </si>
  <si>
    <t>Validations List.xlsx::Employment::VAL0207</t>
  </si>
  <si>
    <t>VAL0207</t>
  </si>
  <si>
    <t>ERR-EMP-007</t>
  </si>
  <si>
    <t>VAL-02968</t>
  </si>
  <si>
    <t>ERR-EMP-02968</t>
  </si>
  <si>
    <t>action, status</t>
  </si>
  <si>
    <t>Reported an employment status change.</t>
  </si>
  <si>
    <t>`action, status` IS NULL OR trim(cast(`action, status` as string)) &lt;&gt; '' /* schema:optional, valid:no_match, datafiles:match, db:column_match */</t>
  </si>
  <si>
    <t>This is an informational or downstream-behavior rule, not a rejectable payload predicate; confirm the expected validation outcome.</t>
  </si>
  <si>
    <t>Validation List Field/Area: Rehire Inactive. | Employment Status changed from Terminated to Active. | Applies to: Both; file scope: Both. | Adds explicit rehire-inactive informational classification.</t>
  </si>
  <si>
    <t>Validations List.xlsx::Employment::VAL0217</t>
  </si>
  <si>
    <t>VAL0217</t>
  </si>
  <si>
    <t>ERR-EMP-017</t>
  </si>
  <si>
    <t>VAL-02969</t>
  </si>
  <si>
    <t>ERR-EMP-02969</t>
  </si>
  <si>
    <t>Reported a Terminated employment status.</t>
  </si>
  <si>
    <t>Validation List Field/Area: Termination Status. | Employment status of Terminated Reported. | Applies to: Both; file scope: Both. | Adds explicit termination informational classification.</t>
  </si>
  <si>
    <t>Validations List.xlsx::Employment::VAL0218</t>
  </si>
  <si>
    <t>VAL0218</t>
  </si>
  <si>
    <t>ERR-EMP-018</t>
  </si>
  <si>
    <t>VAL-02971</t>
  </si>
  <si>
    <t>ERR-EMP-02971</t>
  </si>
  <si>
    <t>Reported a Leave of Absence employment status.</t>
  </si>
  <si>
    <t>Validation List Field/Area: Leave Status. | Employment status of Leave of Absence reported. | Applies to: Both; file scope: Both. | Adds explicit leave informational classification.</t>
  </si>
  <si>
    <t>Validations List.xlsx::Employment::VAL0220</t>
  </si>
  <si>
    <t>VAL0220</t>
  </si>
  <si>
    <t>ERR-EMP-020</t>
  </si>
  <si>
    <t>VAL-02972</t>
  </si>
  <si>
    <t>ERR-EMP-02972</t>
  </si>
  <si>
    <t>Reported a Deceased status.</t>
  </si>
  <si>
    <t>Validation List Field/Area: Deceased Status. | Employment status of Deceased reported. | Applies to: Both; file scope: Both. | Adds explicit deceased informational classification.</t>
  </si>
  <si>
    <t>Validations List.xlsx::Employment::VAL0221</t>
  </si>
  <si>
    <t>VAL0221</t>
  </si>
  <si>
    <t>ERR-EMP-021</t>
  </si>
  <si>
    <t>VAL-02973</t>
  </si>
  <si>
    <t>ERR-EMP-02973</t>
  </si>
  <si>
    <t>Reported a Disabled status.</t>
  </si>
  <si>
    <t>Validation List Field/Area: Disabled Status. | Employment status of Disabled reported. | Applies to: Both; file scope: Both. | Adds explicit disabled informational classification.</t>
  </si>
  <si>
    <t>Validations List.xlsx::Employment::VAL0222</t>
  </si>
  <si>
    <t>VAL0222</t>
  </si>
  <si>
    <t>ERR-EMP-022</t>
  </si>
  <si>
    <t>VAL-02974</t>
  </si>
  <si>
    <t>ERR-EMP-02974</t>
  </si>
  <si>
    <t>Reported a Contribution Group change.</t>
  </si>
  <si>
    <t>Validation List Field/Area: Contribution Group Change. | Contribution group change reported. | Applies to: Both; file scope: Both. | Adds explicit contribution-group-change classification.</t>
  </si>
  <si>
    <t>Validations List.xlsx::Employment::VAL0223</t>
  </si>
  <si>
    <t>VAL0223</t>
  </si>
  <si>
    <t>ERR-EMP-023</t>
  </si>
  <si>
    <t>VAL-02970</t>
  </si>
  <si>
    <t>ERR-EMP-02970</t>
  </si>
  <si>
    <t>RECORD</t>
  </si>
  <si>
    <t>FILE_LEVEL</t>
  </si>
  <si>
    <t>Reported an employment status change from Terminated to Active for someone who has payment on file</t>
  </si>
  <si>
    <t>Business rule retained - implementation dependency</t>
  </si>
  <si>
    <t>Validation List Field/Area: Rehire Retiree. | Employment status changed from Terminated to Active with pay on file. | Applies to: Both; file scope: Both. | Adds the missing payment-on-file dependency for retiree rehire processing.</t>
  </si>
  <si>
    <t>Validations List.xlsx::Employment::VAL0219</t>
  </si>
  <si>
    <t>VAL0219</t>
  </si>
  <si>
    <t>ERR-EMP-019</t>
  </si>
  <si>
    <t>VAL-02937</t>
  </si>
  <si>
    <t>ERR-EMP-02937</t>
  </si>
  <si>
    <t>businessUnitCode, departmentCode</t>
  </si>
  <si>
    <t>SmartDEV rows with Employment-related fields require matching employment context and valid Department/Division and Business Unit.</t>
  </si>
  <si>
    <t>`businessUnitCode, departmentCode` IS NULL OR trim(cast(`businessUnitCode, departmentCode` as string)) &lt;&gt; '' /* schema:optional, valid:no_match, datafiles:check, db:column_match */</t>
  </si>
  <si>
    <t>The source describes a business outcome but does not define a complete boolean condition using approved payload fields.</t>
  </si>
  <si>
    <t>Employment/org setup</t>
  </si>
  <si>
    <t>SmartDEV fields</t>
  </si>
  <si>
    <t>VAL-02897</t>
  </si>
  <si>
    <t>ERR-EMP-02897</t>
  </si>
  <si>
    <t>businessUnitCode, departmentCode, payrollOfficeId</t>
  </si>
  <si>
    <t>Department Code, Business Unit Code, Payroll Office ID, and Participating Group must resolve to active employer-specific org/reference values.</t>
  </si>
  <si>
    <t>`businessUnitCode, departmentCode, payrollOfficeId` IS NULL OR trim(cast(`businessUnitCode, departmentCode, payrollOfficeId` as string)) &lt;&gt; '' /* schema:optional, valid:no_match, datafiles:match, db:column_match */</t>
  </si>
  <si>
    <t>Org/reference tables; Removed non-schema Column Name values: Participating Group.</t>
  </si>
  <si>
    <t>Employment fields</t>
  </si>
  <si>
    <t>VAL-01359</t>
  </si>
  <si>
    <t>ERR-EMP-01359</t>
  </si>
  <si>
    <t>`dutyStationCityCode` IS NULL OR trim(cast(`dutyStationCityCode` as string)) &lt;&gt; '' /* schema:optional, valid:no_match, datafiles:match, db:check_mapping */</t>
  </si>
  <si>
    <t>4-character OPM locality code parsed from positions 6-9 of the 9-character Duty Station composite, used for locality pay area determination and FEHB HMO geographic availability. 0000=not in city. Overseas: last 3 chars replaced with zeros by EHRI.; Allowed-value/reference checks are business validations unless the JSON Schema defines an enum.</t>
  </si>
  <si>
    <t>Data Files07102026.xlsx::Employment!row 46</t>
  </si>
  <si>
    <t>VAL-02964</t>
  </si>
  <si>
    <t>ERR-EMP-02964</t>
  </si>
  <si>
    <t>dutyStationCityCode, dutyStationCountyCode, dutyStationStateCode</t>
  </si>
  <si>
    <t>Duty-station codes must meet configured format and length rules</t>
  </si>
  <si>
    <t>(`dutyStationCityCode` IS NULL OR (length(`dutyStationCityCode`) &lt;= 8)) AND (`dutyStationCountyCode` IS NULL OR (length(`dutyStationCountyCode`) &lt;= 8)) AND (`dutyStationStateCode` IS NULL OR (length(`dutyStationStateCode`) &lt;= 8))</t>
  </si>
  <si>
    <t xml:space="preserve">`dutyStationCityCode, dutyStationCountyCode, dutyStationStateCode` IS NULL OR length(cast(`dutyStationCityCode, dutyStationCountyCode, dutyStationStateCode` as string)) &lt;= 8 /* schema:optional, valid:no_match, datafiles:match, db:column_match */ | baseline: (`dutyStationCityCode` IS NULL OR (length(`dutyStationCityCode`) &lt;= 8)) AND (`dutyStationCountyCode` IS NULL OR (length(`dutyStationCountyCode`) &lt;= 8)) AND (`dutyStationStateCode` </t>
  </si>
  <si>
    <t> dulicate entry</t>
  </si>
  <si>
    <t>Validation List Field/Area: Duty Station codes. | Invalid duty station code. State, County, or City code does not meet required format or length. | Applies to: Both; file scope: Both. | Mapped to schema datatype and length rules plus reference candidates.</t>
  </si>
  <si>
    <t>Validations List.xlsx::Employment::VAL0213</t>
  </si>
  <si>
    <t>VAL0213</t>
  </si>
  <si>
    <t>ERR-EMP-013</t>
  </si>
  <si>
    <t>VAL-01356</t>
  </si>
  <si>
    <t>ERR-EMP-01356</t>
  </si>
  <si>
    <t>`dutyStationCountyCode` IS NULL OR trim(cast(`dutyStationCountyCode` as string)) &lt;&gt; '' /* schema:optional, valid:no_match, datafiles:match, db:column_match */</t>
  </si>
  <si>
    <t>3-character FIPS county code parsed from positions 3-5 of the 9-character OPM Duty Station composite code. 000=not in county. VA: 013=Arlington. 059=Fairfax. MD: 031=Montgomery.; Allowed-value/reference checks are business validations unless the JSON Schema defines an enum.</t>
  </si>
  <si>
    <t>Data Files07102026.xlsx::Employment!row 45</t>
  </si>
  <si>
    <t>VAL-01353</t>
  </si>
  <si>
    <t>ERR-EMP-01353</t>
  </si>
  <si>
    <t>`dutyStationStateCode` IS NULL OR trim(cast(`dutyStationStateCode` as string)) &lt;&gt; '' /* schema:optional, valid:no_match, datafiles:match, db:column_match */</t>
  </si>
  <si>
    <t>2-character FIPS state code parsed from positions 1-2 of the 9-character OPM Duty Station composite code, identifying the state of the employee's official worksite. 01=AL. 06=CA. 11=DC. 24=MD. 51=VA. 72=PR.; Allowed-value/reference checks are business validations unless the JSON Schema defines an enum.</t>
  </si>
  <si>
    <t>Data Files07102026.xlsx::Employment!row 44</t>
  </si>
  <si>
    <t>VAL-02955</t>
  </si>
  <si>
    <t>ERR-EMP-02955</t>
  </si>
  <si>
    <t> Duplicate entry</t>
  </si>
  <si>
    <t>Validation List Field/Area: Effective Date. | Invalid Effective Date. Date is required and must be a valid calendar date. | Applies to: Both; file scope: Both. | Mapped to required, ISO-date, and date-sanity checks.</t>
  </si>
  <si>
    <t>Validations List.xlsx::Employment::VAL0204</t>
  </si>
  <si>
    <t>VAL0204</t>
  </si>
  <si>
    <t>ERR-EMP-004</t>
  </si>
  <si>
    <t>VAL-01286</t>
  </si>
  <si>
    <t>ERR-EMP-01286</t>
  </si>
  <si>
    <t>effectiveDate must be a valid calendar date in yyyy-MM-dd format.</t>
  </si>
  <si>
    <t>`effectiveDate` IS NULL OR (`effectiveDate` RLIKE '^[0-9]{4}-(0[1-9]|1[0-2])-(0[1-9]|[12][0-9]|3[01])$' AND to_date(`effectiveDate`, 'yyyy-MM-dd') IS NOT NULL AND to_date(`effectiveDate`, 'yyyy-MM-dd') BETWEEN DATE '1900-01-01' AND DATE '2036-12-31')</t>
  </si>
  <si>
    <t>`effectiveDate` IS NULL OR to_date(cast(`effectiveDate` as string), 'yyyy-MM-dd') IS NOT NULL /* schema:required, valid:field_match, datafiles:match, db:column_match */ | baseline: `effectiveDate` IS NULL OR (`effectiveDate` RLIKE '^[0-9]{4}-(0[1-9]|1[0-2])-(0[1-9]|[12][0-9]|3[01])$' AND to_date(`effectiveDate`, 'yyyy-MM-dd') IS NOT NULL AND to_date(`effectiv</t>
  </si>
  <si>
    <t>Represents the as of date for any action taken on employment. For example, if an employee went to leave, the effective date represents the begin date of the leave status; when employee returns to work, the effective date of the active status row minus a day becomes the leave status end date. This must be entered for new hires, re-hires, or changes in Contribution Groups or Position Status (for example, from nonparticipating Law Enforcement Officer to contributing Law Enforcement Officer, or from contributing Bus Driver to contributing Teacher.) Please pay special attention to re-hires; submit the employment date the employee is re-hired (the most recent employment date). For employees who are changing Contribution Groups within the same position (e.g., from non-participating Law Enforcement Officer to contributing Law Enforcement Officer), the date should reflect the date the employee began in the new Contribution Group. If reporting any other change in Contribution Group (e.g., due to a change in position status), report the date the position status changed. Report the as of date when the employee is terminated or when the employee’s Contribution Group or Position Status changes due to a change in position. Pertaining to death, this should reflect the date the employee passed away.</t>
  </si>
  <si>
    <t>Data Files07102026.xlsx::Employment!row 21</t>
  </si>
  <si>
    <t>VAL-01285</t>
  </si>
  <si>
    <t>ERR-EMP-01285</t>
  </si>
  <si>
    <t>`effectiveDate` IS NULL OR (`effectiveDate` RLIKE '^[0-9]{4}-(0[1-9]|1[0-2])-(0[1-9]|[12][0-9]|3[01])$')</t>
  </si>
  <si>
    <t>`effectiveDate` IS NULL OR upper(trim(cast(`effectiveDate` as string))) IN ('MM', 'DD', 'YYYY') /* schema:required, valid:field_match, datafiles:match, db:column_match */ | baseline: `effectiveDate` IS NULL OR (`effectiveDate` RLIKE '^[0-9]{4}-(0[1-9]|1[0-2])-(0[1-9]|[12][0-9]|3[01])$')</t>
  </si>
  <si>
    <t> Validation not required for this field</t>
  </si>
  <si>
    <t>Represents the as of date for any action taken on employment. For example, if an employee went to leave, the effective date represents the begin date of the leave status; when employee returns to work, the effective date of the active status row minus a day becomes the leave status end date. This must be entered for new hires, re-hires, or changes in Contribution Groups or Position Status (for example, from nonparticipating Law Enforcement Officer to contributing Law Enforcement Officer, or from contributing Bus Driver to contributing Teacher.) Please pay special attention to re-hires; submit the employment date the employee is re-hired (the most recent employment date). For employees who are changing Contribution Groups within the same position (e.g., from non-participating Law Enforcement Officer to contributing Law Enforcement Officer), the date should reflect the date the employee began in the new Contribution Group. If reporting any other change in Contribution Group (e.g., due to a change in position status), report the date the position status changed. Report the as of date when the employee is terminated or when the employee’s Contribution Group or Position Status changes due to a change in position. Pertaining to death, this should reflect the date the employee passed away.; Allowed-value/reference checks are business validations unless the JSON Schema defines an enum.</t>
  </si>
  <si>
    <t>VAL-02977</t>
  </si>
  <si>
    <t>ERR-EMP-02977</t>
  </si>
  <si>
    <t>If an ongoing change row has an effective date or period end before the last successfully processed cutoff, it should be flagged as a retroactive adjustment and handled under an explicit correction rule.</t>
  </si>
  <si>
    <t>`effectiveDate` IS NULL OR trim(cast(`effectiveDate` as string)) &lt;&gt; '' /* schema:required, valid:field_match, datafiles:match, db:column_match */</t>
  </si>
  <si>
    <t>The rule depends on external or cross-domain state that is not identified in the payload contract.</t>
  </si>
  <si>
    <t>Validation List Field/Area: Detail Record. | Late-arriving or retroactive change control | Applies to: Ongoing; file scope: Changes-Only File. | New rule; last_successful_processing_cutoff must be supplied from pipeline control state.</t>
  </si>
  <si>
    <t>Validations List.xlsx::Employment::VAL0251</t>
  </si>
  <si>
    <t>VAL0251</t>
  </si>
  <si>
    <t>ERR-EMP-051</t>
  </si>
  <si>
    <t>VAL-02834</t>
  </si>
  <si>
    <t>ERR-EMP-02834</t>
  </si>
  <si>
    <t>Effective Date must not create overlapping active records for the same natural key unless the domain explicitly allows corrections/history.</t>
  </si>
  <si>
    <t>Existing target history</t>
  </si>
  <si>
    <t>Effective-dated flag in Standard Files</t>
  </si>
  <si>
    <t>VAL-02952</t>
  </si>
  <si>
    <t>ERR-EMP-02952</t>
  </si>
  <si>
    <t>effectiveDate, employeeUniqueId, employerCode, orgId, productModule, sourceSystem</t>
  </si>
  <si>
    <t>All required Employment fields must be populated</t>
  </si>
  <si>
    <t>`effectiveDate, employeeUniqueId, employerCode, orgId, productModule, sourceSystem` IS NOT NULL AND trim(cast(`effectiveDate, employeeUniqueId, employerCode, orgId, productModule, sourceSystem` as string)) &lt;&gt; '' /* schema:required, valid:no_match, datafiles:check, db:column_match */</t>
  </si>
  <si>
    <t>1-64 characters; 1-4 characters</t>
  </si>
  <si>
    <t>Validation List Field/Area: Required fields. | Required Employment field is missing. All mandatory fields must be populated.
Missing Fields: {Field Name 1}, {Field Name 2}, {Field Name 3}, … | Applies to: Both; file scope: Both. | Mapped to the active field-level required rules; no aggregate duplicate is added.</t>
  </si>
  <si>
    <t>Validations List.xlsx::Employment::VAL0201</t>
  </si>
  <si>
    <t>VAL0201</t>
  </si>
  <si>
    <t>ERR-EMP-001</t>
  </si>
  <si>
    <t>VAL-02966</t>
  </si>
  <si>
    <t>ERR-EMP-02966</t>
  </si>
  <si>
    <t>effectiveDate, employeeUniqueId, sourceAssignmentId</t>
  </si>
  <si>
    <t>Duplicate Employment rows must be prevented on the logical business key</t>
  </si>
  <si>
    <t>COUNT(*) OVER (PARTITION BY `employeeUniqueId`, `sourceAssignmentId`, `effectiveDate`) &lt;= 1</t>
  </si>
  <si>
    <t>COUNT(*) OVER (PARTITION BY `employeeUniqueId`, `sourceAssignmentId`, `effectiveDate`) &lt;= 1 /* schema:optional, valid:no_match, datafiles:match, db:column_match */</t>
  </si>
  <si>
    <t>Validation List Field/Area: Logical duplicate key. | Possible duplicate Employment record detected based on the defined business key. | Applies to: Both; file scope: Both. | Mapped to the existing duplicate Employment rule.</t>
  </si>
  <si>
    <t>Validations List.xlsx::Employment::VAL0215</t>
  </si>
  <si>
    <t>VAL0215</t>
  </si>
  <si>
    <t>ERR-EMP-015</t>
  </si>
  <si>
    <t>VAL-02894</t>
  </si>
  <si>
    <t>ERR-EMP-02894</t>
  </si>
  <si>
    <t>effectiveDate, employeeUniqueId, sourceAssignmentId, updateType</t>
  </si>
  <si>
    <t>HISTORY</t>
  </si>
  <si>
    <t>Employment records for the same employee/assignment must have a consistent effective-date sequence without invalid overlaps unless update type is CORRECTION.</t>
  </si>
  <si>
    <t>`effectiveDate, employeeUniqueId, sourceAssignmentId, updateType` IS NULL OR trim(cast(`effectiveDate, employeeUniqueId, sourceAssignmentId, updateType` as string)) &lt;&gt; '' /* schema:optional, valid:no_match, datafiles:match, db:column_match */</t>
  </si>
  <si>
    <t>The historical dataset, partition keys, ordering, and correction policy are not fully specified.</t>
  </si>
  <si>
    <t>Employment history</t>
  </si>
  <si>
    <t>Existing EMP-BR-005/006 concepts</t>
  </si>
  <si>
    <t>VAL-02967</t>
  </si>
  <si>
    <t>ERR-EMP-02967</t>
  </si>
  <si>
    <t>Status changes must be sequenced logically</t>
  </si>
  <si>
    <t>Validation List Field/Area: Effective-dated sequencing. | Invalid employment event sequence. Effective-dated status history is not logically ordered. | Applies to: Both; file scope: Both. | Mapped to the existing effective-dated sequence rule.</t>
  </si>
  <si>
    <t>Validations List.xlsx::Employment::VAL0216</t>
  </si>
  <si>
    <t>VAL0216</t>
  </si>
  <si>
    <t>ERR-EMP-016</t>
  </si>
  <si>
    <t>VAL-02893</t>
  </si>
  <si>
    <t>ERR-EMP-02893</t>
  </si>
  <si>
    <t>effectiveDate, status</t>
  </si>
  <si>
    <t>Terminated or inactive employment status must have appropriate termination/inactive effective date; active status should not have a future termination date unless pre-staged.</t>
  </si>
  <si>
    <t>`effectiveDate, status` IS NULL OR trim(cast(`effectiveDate, status` as string)) &lt;&gt; '' /* schema:optional, valid:no_match, datafiles:match, db:column_match */</t>
  </si>
  <si>
    <t>Person/Employment target; Removed non-schema Column Name values: Termination Date.</t>
  </si>
  <si>
    <t>Employment workbook fields</t>
  </si>
  <si>
    <t>VAL-02953</t>
  </si>
  <si>
    <t>ERR-EMP-02953</t>
  </si>
  <si>
    <t>Validation List Field/Area: Unique Identifier. | Invalid Unique Identifier. Value is missing or does not match the expected format. | Applies to: Both; file scope: Both. | Mapped to required and JSON Schema/common-definition checks.</t>
  </si>
  <si>
    <t>Validations List.xlsx::Employment::VAL0202</t>
  </si>
  <si>
    <t>VAL0202</t>
  </si>
  <si>
    <t>ERR-EMP-002</t>
  </si>
  <si>
    <t>VAL-02978</t>
  </si>
  <si>
    <t>ERR-EMP-02978</t>
  </si>
  <si>
    <t>Every Employment conversion record must resolve to a member already present on the Personal conversion load or loaded earlier in the same cycle.</t>
  </si>
  <si>
    <t>`employeeUniqueId` IS NULL OR trim(cast(`employeeUniqueId` as string)) &lt;&gt; '' /* schema:required, valid:no_match, datafiles:check, db:column_match */</t>
  </si>
  <si>
    <t>This is a summary/duplicate rule mapped to other validations; confirm whether it should execute independently.</t>
  </si>
  <si>
    <t>Validation List Field/Area: Detail Record. | Personal-to-employment prerequisite | Applies to: Conversion; file scope: Full File. | Mapped to the existing Person prerequisite rule.</t>
  </si>
  <si>
    <t>Validations List.xlsx::Employment::VAL0260</t>
  </si>
  <si>
    <t>VAL0260</t>
  </si>
  <si>
    <t>ERR-EMP-060</t>
  </si>
  <si>
    <t>VAL-02954</t>
  </si>
  <si>
    <t>ERR-EMP-02954</t>
  </si>
  <si>
    <t>Employer code must exist in the system</t>
  </si>
  <si>
    <t>`employerCode` IS NULL OR trim(cast(`employerCode` as string)) &lt;&gt; '' /* schema:required, valid:field_match, datafiles:match, db:column_match */</t>
  </si>
  <si>
    <t>Business rule retained - review required</t>
  </si>
  <si>
    <t>Validation List Field/Area: Employer code. | Invalid employer code. Employer is not recognized by the system. | Applies to: Both; file scope: Both. | The employer reference list is intentionally blank pending an approved source.</t>
  </si>
  <si>
    <t>Validations List.xlsx::Employment::VAL0203</t>
  </si>
  <si>
    <t>VAL0203</t>
  </si>
  <si>
    <t>ERR-EMP-003</t>
  </si>
  <si>
    <t>VAL-01323</t>
  </si>
  <si>
    <t>ERR-EMP-01323</t>
  </si>
  <si>
    <t>`exempt` IS NULL OR trim(cast(`exempt` as string)) &lt;&gt; '' /* schema:optional, valid:no_match, datafiles:match, db:column_match */ | baseline: `exempt` IS NULL OR (typeof(`exempt`) = 'boolean')</t>
  </si>
  <si>
    <t>Represents the exempt indicator of an employee. From an employment/payroll perspective, “exempt” usually means an employee is exempt from (not covered by) certain wage-and-hour rules—most notably the overtime pay requirements of the Fair Labor Standards Act (FLSA) in the U.S.; Allowed-value/reference checks are business validations unless the JSON Schema defines an enum.</t>
  </si>
  <si>
    <t>Data Files07102026.xlsx::Employment!row 33</t>
  </si>
  <si>
    <t>VAL-01365</t>
  </si>
  <si>
    <t>ERR-EMP-01365</t>
  </si>
  <si>
    <t>`expatriate` IS NULL OR trim(cast(`expatriate` as string)) &lt;&gt; '' /* schema:optional, valid:no_match, datafiles:match, db:check_mapping */ | baseline: `expatriate` IS NULL OR (typeof(`expatriate`) = 'boolean')</t>
  </si>
  <si>
    <t> Validation is not required for boolean field</t>
  </si>
  <si>
    <t>Indicaites an employee is temporarily working in a country other than their home country under an employer-managed arrangement. Available options: - Yes - No; Allowed-value/reference checks are business validations unless the JSON Schema defines an enum.</t>
  </si>
  <si>
    <t>Data Files07102026.xlsx::Employment!row 48</t>
  </si>
  <si>
    <t>VAL-01371</t>
  </si>
  <si>
    <t>ERR-EMP-01371</t>
  </si>
  <si>
    <t>`ficaCode` IS NULL OR trim(cast(`ficaCode` as string)) &lt;&gt; '' /* schema:optional, valid:no_match, datafiles:match, db:check_mapping */</t>
  </si>
  <si>
    <t>Identifies the Social Security and Medicare tax coverage applicable to the employee, transmitted via the EHRI payroll file (not HR Status). Y=Full FICA — OASDI 6.2% + Medicare 1.45% (all FERS). H=Medicare Only 1.45% (post-1983 CSRS). N=FICA Exempt (pre-1984 CSRS).; Allowed-value/reference checks are business validations unless the JSON Schema defines an enum.</t>
  </si>
  <si>
    <t>Data Files07102026.xlsx::Employment!row 50</t>
  </si>
  <si>
    <t>VAL-02959</t>
  </si>
  <si>
    <t>ERR-EMP-02959</t>
  </si>
  <si>
    <t>Validation List Field/Area: Full Time Percentage. | Invalid Full Time Percentage. Value must be numeric and within the allowed range. | Applies to: Both; file scope: Both. | The catalog was already updated to numeric datatype and 0–100 range.</t>
  </si>
  <si>
    <t>Validations List.xlsx::Employment::VAL0208</t>
  </si>
  <si>
    <t>VAL0208</t>
  </si>
  <si>
    <t>ERR-EMP-008</t>
  </si>
  <si>
    <t>VAL-01344</t>
  </si>
  <si>
    <t>ERR-EMP-01344</t>
  </si>
  <si>
    <t>`grade` IS NULL OR trim(cast(`grade` as string)) &lt;&gt; '' /* schema:optional, valid:no_match, datafiles:match, db:column_match */</t>
  </si>
  <si>
    <t>2-character zero-padded code indicating the employee's hierarchical position within a pay plan, documented on SF-50 Block 18. GS: 01-15. WG/WL/WS: 01-15. SES: AA or BB. EX: I-V. ST/SL: 00 no grade. Legacy GM DEPRECATED. This is the default set but must be expandable.; Allowed-value/reference checks are business validations unless the JSON Schema defines an enum.</t>
  </si>
  <si>
    <t>Data Files07102026.xlsx::Employment!row 41</t>
  </si>
  <si>
    <t>VAL-02963</t>
  </si>
  <si>
    <t>ERR-EMP-02963</t>
  </si>
  <si>
    <t>grade, payLevel, payPlan, salaryRateCode</t>
  </si>
  <si>
    <t>Values must be valid individually and consistent as a hierarchy</t>
  </si>
  <si>
    <t>`grade, payLevel, payPlan, salaryRateCode` IS NULL OR trim(cast(`grade, payLevel, payPlan, salaryRateCode` as string)) &lt;&gt; '' /* schema:optional, valid:no_match, datafiles:match, db:column_match */</t>
  </si>
  <si>
    <t>Validation List Field/Area: Pay plan hierarchy. | Invalid compensation structure. Pay Plan, Grade, Pay Level, and Salary Rate Code are not consistent. | Applies to: Both; file scope: Both. | The field-level rules exist; the approved hierarchy/crosswalk is still required.</t>
  </si>
  <si>
    <t>Validations List.xlsx::Employment::VAL0212</t>
  </si>
  <si>
    <t>VAL0212</t>
  </si>
  <si>
    <t>ERR-EMP-012</t>
  </si>
  <si>
    <t>VAL-02962</t>
  </si>
  <si>
    <t>ERR-EMP-02962</t>
  </si>
  <si>
    <t>Must follow configured code format/range</t>
  </si>
  <si>
    <t>`jobClassification` IS NULL OR trim(cast(`jobClassification` as string)) &lt;&gt; '' /* schema:optional, valid:field_match, datafiles:match, db:column_match */</t>
  </si>
  <si>
    <t>Validation List Field/Area: Job Classification. | Invalid Job Classification. Value does not meet the required code format or range. | Applies to: Both; file scope: Both. | Mapped to format, length, and configured range/reference checks.</t>
  </si>
  <si>
    <t>Validations List.xlsx::Employment::VAL0211</t>
  </si>
  <si>
    <t>VAL0211</t>
  </si>
  <si>
    <t>ERR-EMP-011</t>
  </si>
  <si>
    <t>VAL-01338</t>
  </si>
  <si>
    <t>ERR-EMP-01338</t>
  </si>
  <si>
    <t>4-digit OPM occupational series code from the OPM Handbook of Occupational Groups and Families, documenting the nature of the work on SF-50 Block 17. VARCHAR(4) zero-padded. Valid range 0001-9999. 0301=Misc Admin. 0343=Mgmt Analyst. 2210=IT Specialist.; Allowed-value/reference checks are business validations unless the JSON Schema defines an enum.</t>
  </si>
  <si>
    <t>Data Files07102026.xlsx::Employment!row 39</t>
  </si>
  <si>
    <t>VAL-01305</t>
  </si>
  <si>
    <t>ERR-EMP-01305</t>
  </si>
  <si>
    <t>Allowed-value/reference checks are business validations unless the JSON Schema defines an enum.</t>
  </si>
  <si>
    <t>Data Files07102026.xlsx::Employment!row 26</t>
  </si>
  <si>
    <t>VAL-01368</t>
  </si>
  <si>
    <t>ERR-EMP-01368</t>
  </si>
  <si>
    <t>`officer` IS NULL OR trim(cast(`officer` as string)) &lt;&gt; '' /* schema:optional, valid:no_match, datafiles:match, db:column_match */ | baseline: `officer` IS NULL OR (typeof(`officer`) = 'boolean')</t>
  </si>
  <si>
    <t> Validation not required for boolean field</t>
  </si>
  <si>
    <t>Officer status usually means whether a worker is recognized as a corporate officer of a legal entity (e.g., “officer of ABC, Inc.”), typically recorded for governance, regulatory, tax, and benefits reasons. It’s more of a legal/role designation than a job title. Available options: - Yes - No; Allowed-value/reference checks are business validations unless the JSON Schema defines an enum.</t>
  </si>
  <si>
    <t>Data Files07102026.xlsx::Employment!row 49</t>
  </si>
  <si>
    <t>VAL-01408</t>
  </si>
  <si>
    <t>ERR-EMP-01408</t>
  </si>
  <si>
    <t>`owcpReinstatementIndicator` IS NULL OR upper(trim(cast(`owcpReinstatementIndicator` as string))) IN ('Y') /* schema:optional, valid:field_match, datafiles:match, db:column_match */ | baseline: `owcpReinstatementIndicator` IS NULL OR (typeof(`owcpReinstatementIndicator`) = 'boolean')</t>
  </si>
  <si>
    <t>Data Files07102026.xlsx::Employment!row 63</t>
  </si>
  <si>
    <t>VAL-02992</t>
  </si>
  <si>
    <t>ERR-EMP-02992</t>
  </si>
  <si>
    <t>owcpReinstatementIndicator, reinstatementDate</t>
  </si>
  <si>
    <t>Y - System will change memberType to OWCP and Payroll office to OWCP effective on the reinstatement date and run eligibility. N - No additional system behavior.</t>
  </si>
  <si>
    <t>`owcpReinstatementIndicator` IS NULL OR `owcpReinstatementIndicator` = FALSE OR `reinstatementDate` IS NOT NULL</t>
  </si>
  <si>
    <t>`owcpReinstatementIndicator` IS NULL OR `owcpReinstatementIndicator` = FALSE OR `reinstatementDate` IS NOT NULL /* schema:optional, valid:no_match, datafiles:match, db:column_match */</t>
  </si>
  <si>
    <t>boolean, string (date)</t>
  </si>
  <si>
    <t>Validation List Field/Area: OWCP Reinstatement Indicator. | Binary flag indicating that a previously terminated or inactive OWCP member's benefits are being reinstated. | Applies to: Conversion; file scope: Full File. | Adds the direct date dependency; downstream member/payroll effects need additional state.</t>
  </si>
  <si>
    <t>Validations List.xlsx::Employment::VAL0274</t>
  </si>
  <si>
    <t>VAL0274</t>
  </si>
  <si>
    <t>ERR-EMP-074</t>
  </si>
  <si>
    <t>VAL-01396</t>
  </si>
  <si>
    <t>ERR-EMP-01396</t>
  </si>
  <si>
    <t>owcpRollType must be P or D when provided.</t>
  </si>
  <si>
    <t>`owcpRollType` IS NULL OR (upper(trim(`owcpRollType`)) IN ('P', 'D'))</t>
  </si>
  <si>
    <t>`owcpRollType` IS NULL OR upper(trim(cast(`owcpRollType` as string))) IN ('P', 'D') /* schema:optional, valid:field_match, datafiles:match, db:column_match */ | baseline: `owcpRollType` IS NULL OR (upper(trim(`owcpRollType`)) IN ('P', 'D'))</t>
  </si>
  <si>
    <t>P, D</t>
  </si>
  <si>
    <t>Data Files07102026.xlsx::Employment!row 59</t>
  </si>
  <si>
    <t>VAL-02988</t>
  </si>
  <si>
    <t>ERR-EMP-02988</t>
  </si>
  <si>
    <t>If Roll Type is "P" store the value, no system behavior. If Roll Type is "D" store the value, no system behavior. If Roll Type is not "P" or "D" reject the record</t>
  </si>
  <si>
    <t>`owcpRollType` IS NULL OR trim(cast(`owcpRollType` as string)) &lt;&gt; '' /* schema:optional, valid:field_match, datafiles:match, db:column_match */</t>
  </si>
  <si>
    <t>Validation List Field/Area: OWCP Roll Type. | Identifies the OWCP compensation payment roll type for members receiving workers' compensation benefits. | Applies to: Conversion; file scope: Full File. | Adds the product-approved P/D list.</t>
  </si>
  <si>
    <t>Validations List.xlsx::Employment::VAL0270</t>
  </si>
  <si>
    <t>VAL0270</t>
  </si>
  <si>
    <t>ERR-EMP-070</t>
  </si>
  <si>
    <t>VAL-02896</t>
  </si>
  <si>
    <t>ERR-EMP-02896</t>
  </si>
  <si>
    <t>owcpRollType, owcpTerminationIndicator, reinstatementDate, transferInEffectiveDate</t>
  </si>
  <si>
    <t>OWCP termination, transfer-in, and reinstatement indicators require the corresponding effective/reinstatement dates and compatible roll type/action code.</t>
  </si>
  <si>
    <t>`owcpRollType, owcpTerminationIndicator, reinstatementDate, transferInEffectiveDate` IS NULL OR trim(cast(`owcpRollType, owcpTerminationIndicator, reinstatementDate, transferInEffectiveDate` as string)) &lt;&gt; '' /* schema:required, valid:no_match, datafiles:match, db:column_match */</t>
  </si>
  <si>
    <t>string, boolean, string (date)</t>
  </si>
  <si>
    <t>Employment OWCP fields</t>
  </si>
  <si>
    <t>VAL-01399</t>
  </si>
  <si>
    <t>ERR-EMP-01399</t>
  </si>
  <si>
    <t>`owcpTerminationIndicator` IS NULL OR upper(trim(cast(`owcpTerminationIndicator` as string))) IN ('Y') /* schema:optional, valid:field_match, datafiles:match, db:column_match */ | baseline: `owcpTerminationIndicator` IS NULL OR (typeof(`owcpTerminationIndicator`) = 'boolean')</t>
  </si>
  <si>
    <t> validation not required for boolean field</t>
  </si>
  <si>
    <t>Data Files07102026.xlsx::Employment!row 60</t>
  </si>
  <si>
    <t>VAL-02989</t>
  </si>
  <si>
    <t>ERR-EMP-02989</t>
  </si>
  <si>
    <t>Binary flag indicating whether this OWCP member's benefits have been terminated in the current reporting period (terminated by the Compensation Examiner only).
Valid Values:
Y = Benefits terminated — look at OWCP Termination Reason field for next-step system behavior
N = Benefits not terminated — no additional action</t>
  </si>
  <si>
    <t>`owcpTerminationIndicator` IS NULL OR upper(trim(cast(`owcpTerminationIndicator` as string))) IN ('VALID VALUES:') /* schema:optional, valid:field_match, datafiles:match, db:column_match */ | baseline: `owcpTerminationIndicator` IS NULL OR (typeof(`owcpTerminationIndicator`) = 'boolean')</t>
  </si>
  <si>
    <t>Validation List Field/Area: OWCP Termination Indicator. | Applies to: Conversion; file scope: Full File. | Boolean structure exists; downstream reason behavior requires additional context.</t>
  </si>
  <si>
    <t>Validations List.xlsx::Employment::VAL0271</t>
  </si>
  <si>
    <t>VAL0271</t>
  </si>
  <si>
    <t>ERR-EMP-071</t>
  </si>
  <si>
    <t>VAL-01402</t>
  </si>
  <si>
    <t>ERR-EMP-01402</t>
  </si>
  <si>
    <t>`owcpTransferInIndicator` IS NULL OR upper(trim(cast(`owcpTransferInIndicator` as string))) IN ('Y') /* schema:optional, valid:field_match, datafiles:match, db:column_match */ | baseline: `owcpTransferInIndicator` IS NULL OR (typeof(`owcpTransferInIndicator`) = 'boolean')</t>
  </si>
  <si>
    <t>Data Files07102026.xlsx::Employment!row 61</t>
  </si>
  <si>
    <t>VAL-02990</t>
  </si>
  <si>
    <t>ERR-EMP-02990</t>
  </si>
  <si>
    <t>Valid Values:
Y - System will change memberType to OWCP and Payroll office to OWCP effective on the transfer in effective date and run eligibility. N- No additional system behavior.</t>
  </si>
  <si>
    <t>`owcpTransferInIndicator` IS NULL OR upper(trim(cast(`owcpTransferInIndicator` as string))) IN ('VALID VALUES:') /* schema:optional, valid:field_match, datafiles:match, db:column_match */ | baseline: `owcpTransferInIndicator` IS NULL OR (typeof(`owcpTransferInIndicator`) = 'boolean')</t>
  </si>
  <si>
    <t>Validation List Field/Area: OWCP Transfer-In Indicator. | Binary flag indicating that a member is transferring onto the OWCP compensation roll from an active employment status. | Applies to: Conversion; file scope: Full File. | Boolean structure exists; downstream transfer behavior requires additional context.</t>
  </si>
  <si>
    <t>Validations List.xlsx::Employment::VAL0272</t>
  </si>
  <si>
    <t>VAL0272</t>
  </si>
  <si>
    <t>ERR-EMP-072</t>
  </si>
  <si>
    <t>VAL-02991</t>
  </si>
  <si>
    <t>ERR-EMP-02991</t>
  </si>
  <si>
    <t>owcpTransferInIndicator, transferInEffectiveDate</t>
  </si>
  <si>
    <t>Populated as the date of Transfer In when the Transfer In Indicator is Y</t>
  </si>
  <si>
    <t>`owcpTransferInIndicator` IS NULL OR `owcpTransferInIndicator` = FALSE OR `transferInEffectiveDate` IS NOT NULL</t>
  </si>
  <si>
    <t>`owcpTransferInIndicator` IS NULL OR `owcpTransferInIndicator` = FALSE OR `transferInEffectiveDate` IS NOT NULL /* schema:required, valid:no_match, datafiles:match, db:column_match */</t>
  </si>
  <si>
    <t>Validation List Field/Area: Transfer-In Effective Date. | Effective date for transfer-in when Transfer-in Indicator is Y (see Transfer-in Indicator) | Applies to: Conversion; file scope: Full File. | Mapped to the existing conditional-required rule.</t>
  </si>
  <si>
    <t>Validations List.xlsx::Employment::VAL0273</t>
  </si>
  <si>
    <t>VAL0273</t>
  </si>
  <si>
    <t>ERR-EMP-073</t>
  </si>
  <si>
    <t>VAL-01347</t>
  </si>
  <si>
    <t>ERR-EMP-01347</t>
  </si>
  <si>
    <t>`payLevel` IS NULL OR trim(cast(`payLevel` as string)) &lt;&gt; '' /* schema:optional, valid:no_match, datafiles:match, db:check_mapping */</t>
  </si>
  <si>
    <t>2-character code indicating the specific salary within a grade for GS employees, documented on SF-50 Block 19. WGI waiting periods: Steps 1-3=52 weeks. Steps 4-6=104 weeks. Steps 7-9=156 weeks at acceptable performance. WG/WL/WS: 00. ES/SL/ST: E. This is the default set but must be expandable.; Allowed-value/reference checks are business validations unless the JSON Schema defines an enum.</t>
  </si>
  <si>
    <t>Data Files07102026.xlsx::Employment!row 42</t>
  </si>
  <si>
    <t>VAL-01341</t>
  </si>
  <si>
    <t>ERR-EMP-01341</t>
  </si>
  <si>
    <t>`payPlan` IS NULL OR trim(cast(`payPlan` as string)) &lt;&gt; '' /* schema:optional, valid:no_match, datafiles:match, db:check_mapping */</t>
  </si>
  <si>
    <t>2-character code identifying the federal pay schedule governing the employee's compensation structure, documented on SF-50 Block 16. GS=General Schedule. WG=Wage Grade. WL=Wage Leader. WS=Wage Supervisor. ES=SES. EX=Executive Schedule. VN=VA Nurse. VM=VA Physician. This is the default set but must be expandable.; Allowed-value/reference checks are business validations unless the JSON Schema defines an enum.</t>
  </si>
  <si>
    <t>Data Files07102026.xlsx::Employment!row 40</t>
  </si>
  <si>
    <t>VAL-02983</t>
  </si>
  <si>
    <t>ERR-EMP-02983</t>
  </si>
  <si>
    <t>Field will not be used and is just informational for when payroll ID should be USPS. Confirmed with Client no system impacts (Not updated for OWCP or RS Payroll office transfer)</t>
  </si>
  <si>
    <t>`payrollOfficeId` IS NULL OR trim(cast(`payrollOfficeId` as string)) &lt;&gt; '' /* schema:optional, valid:field_match, datafiles:match, db:column_match */</t>
  </si>
  <si>
    <t>Validation List Field/Area: Payroll Office ID. | Payroll Office/Payroll Office ID | Applies to: Conversion; file scope: Full File. | Captures that the field is informational and has no OWCP/RS transfer impact.</t>
  </si>
  <si>
    <t>Validations List.xlsx::Employment::VAL0265</t>
  </si>
  <si>
    <t>VAL0265</t>
  </si>
  <si>
    <t>ERR-EMP-065</t>
  </si>
  <si>
    <t>VAL-01335</t>
  </si>
  <si>
    <t>ERR-EMP-01335</t>
  </si>
  <si>
    <t>`positionNumber` IS NULL OR trim(cast(`positionNumber` as string)) &lt;&gt; '' /* schema:optional, valid:no_match, datafiles:match, db:column_match */</t>
  </si>
  <si>
    <t>Please see "Position Number" sheet that contains state's position code. Configurable to client.; Allowed-value/reference checks are business validations unless the JSON Schema defines an enum.</t>
  </si>
  <si>
    <t>Data Files07102026.xlsx::Employment!row 38</t>
  </si>
  <si>
    <t>VAL-01310</t>
  </si>
  <si>
    <t>ERR-EMP-01310</t>
  </si>
  <si>
    <t>positionStatus must be one of: 01, 02, 03, 04, 05.</t>
  </si>
  <si>
    <t>`positionStatus` IS NULL OR (upper(trim(`positionStatus`)) IN ('01', '02', '03', '04', '05'))</t>
  </si>
  <si>
    <t>`positionStatus` IS NULL OR upper(trim(cast(`positionStatus` as string))) IN ('01', '02', '03', '04', '05') /* schema:optional, valid:no_match, datafiles:match, db:column_match */ | baseline: `positionStatus` IS NULL OR (upper(trim(`positionStatus`)) IN ('01', '02', '03', '04', '05'))</t>
  </si>
  <si>
    <t>Data Files07102026.xlsx::Employment!row 28</t>
  </si>
  <si>
    <t>VAL-01417</t>
  </si>
  <si>
    <t>ERR-EMP-01417</t>
  </si>
  <si>
    <t>`preTaxHealthBenefitIndicator` IS NULL OR upper(trim(cast(`preTaxHealthBenefitIndicator` as string))) IN ('Y') /* schema:optional, valid:field_match, datafiles:match, db:column_match */ | baseline: `preTaxHealthBenefitIndicator` IS NULL OR (typeof(`preTaxHealthBenefitIndicator`) = 'boolean')</t>
  </si>
  <si>
    <t>Data Files07102026.xlsx::Employment!row 66</t>
  </si>
  <si>
    <t>VAL-02995</t>
  </si>
  <si>
    <t>ERR-EMP-02995</t>
  </si>
  <si>
    <t>Covered in cancellation business rules and QLE rules. Pre-tax value will deterimine when an active employee can cancel and can impact QLE rules.</t>
  </si>
  <si>
    <t>`preTaxHealthBenefitIndicator` IS NULL OR trim(cast(`preTaxHealthBenefitIndicator` as string)) &lt;&gt; '' /* schema:optional, valid:field_match, datafiles:match, db:column_match */</t>
  </si>
  <si>
    <t>Validation List Field/Area: Pre-Tax Health Benefit Indicator. | Yes/No - For the initial population. Employee's election for pretax deduction. | Applies to: Conversion; file scope: Full File. | Boolean structure exists; downstream cancellation/QLE behavior is captured.</t>
  </si>
  <si>
    <t>Validations List.xlsx::Employment::VAL0277</t>
  </si>
  <si>
    <t>VAL0277</t>
  </si>
  <si>
    <t>ERR-EMP-077</t>
  </si>
  <si>
    <t>VAL-01379</t>
  </si>
  <si>
    <t>ERR-EMP-01379</t>
  </si>
  <si>
    <t>pshbEligibilityEffectiveDate must be a valid calendar date in yyyy-MM-dd format.</t>
  </si>
  <si>
    <t>`pshbEligibilityEffectiveDate` IS NULL OR (`pshbEligibilityEffectiveDate` RLIKE '^[0-9]{4}-(0[1-9]|1[0-2])-(0[1-9]|[12][0-9]|3[01])$' AND to_date(`pshbEligibilityEffectiveDate`, 'yyyy-MM-dd') IS NOT NULL AND to_date(`pshbEligibilityEffectiveDate`, 'yyyy-MM-dd') BETWEEN DATE '1900-01-01' AND DATE '2036-12-31')</t>
  </si>
  <si>
    <t>`pshbEligibilityEffectiveDate` IS NULL OR to_date(cast(`pshbEligibilityEffectiveDate` as string), 'yyyy-MM-dd') IS NOT NULL /* schema:required, valid:field_match, datafiles:match, db:column_match */ | baseline: `pshbEligibilityEffectiveDate` IS NULL OR (`pshbEligibilityEffectiveDate` RLIKE '^[0-9]{4}-(0[1-9]|1[0-2])-(0[1-9]|[12][0-9]|3[01])$' AND to_date(`pshbEligibilityEffectiveDate`, 'y</t>
  </si>
  <si>
    <t>Data Files07102026.xlsx::Employment!row 53</t>
  </si>
  <si>
    <t>VAL-02982</t>
  </si>
  <si>
    <t>ERR-EMP-02982</t>
  </si>
  <si>
    <t>No impact. Static field. Eligiblity will be effective the day the file is received with the eligbility indicator update.</t>
  </si>
  <si>
    <t>`pshbEligibilityEffectiveDate` IS NULL OR trim(cast(`pshbEligibilityEffectiveDate` as string)) &lt;&gt; '' /* schema:required, valid:field_match, datafiles:match, db:column_match */</t>
  </si>
  <si>
    <t>Validation List Field/Area: PSHB Eligibility Effective Date. | The effective date of the PSHB eligibility status change sent by USPS. | Applies to: Conversion; file scope: Full File. | The schema keeps the field nullable; product behavior is captured as informational.</t>
  </si>
  <si>
    <t>Validations List.xlsx::Employment::VAL0264</t>
  </si>
  <si>
    <t>VAL0264</t>
  </si>
  <si>
    <t>ERR-EMP-064</t>
  </si>
  <si>
    <t>VAL-01376</t>
  </si>
  <si>
    <t>ERR-EMP-01376</t>
  </si>
  <si>
    <t>pshbEligibilityStatus must be one of C, E, I, W, O, T, A, or R when provided.</t>
  </si>
  <si>
    <t>`pshbEligibilityStatus` IS NULL OR (upper(trim(`pshbEligibilityStatus`)) IN ('C', 'E', 'I', 'W', 'O', 'T', 'A', 'R'))</t>
  </si>
  <si>
    <t>`pshbEligibilityStatus` IS NULL OR upper(trim(cast(`pshbEligibilityStatus` as string))) IN ('C', 'E', 'I', 'W', 'O', 'T', 'A', 'R') /* schema:optional, valid:field_match, datafiles:match, db:column_match */ | baseline: `pshbEligibilityStatus` IS NULL OR (upper(trim(`pshbEligibilityStatus`)) IN ('C', 'E', 'I', 'W', 'O', 'T', 'A', 'R'))</t>
  </si>
  <si>
    <t>C, E, I, W, O, T, A, R</t>
  </si>
  <si>
    <t>Data Files07102026.xlsx::Employment!row 52</t>
  </si>
  <si>
    <t>VAL-02981</t>
  </si>
  <si>
    <t>ERR-EMP-02981</t>
  </si>
  <si>
    <t>C (Covered) - No eligiblity impact, covered in Payroll Office Rules
E (Eligible) - USPS Employee is Eligible and Payroll Office is USPS - Covered in Active Eligbility Rules and Payroll Office Rules
I (Ineligible) - USPS Employee is Ineligible and Payroll Office is USPS - Covered in Active Eligbility Rules, Termination Rules, and Payroll Rules
W (Waived) - No eligiblity impact, covered in Payroll Office Rules
O (365 LWOP) - USPS Employee coverage is terminated payroll office remains as USPS - Covered in Termination Rules and Payroll Office Rules
T (Transfer to OWCP) - No eligiblity impact
A (Annuitant) - Change payroll office to RS, Change member type to annuitant, Start Medicare Grace Period using terminationDate below. Covered in Annuitant Eligbility Rules and Payroll Office rules.
R (Terminated) -USPS employee is terminated -  Covered in Termination Rules, TCC Rules, Payroll Office Rules
Note: MVP Scope -
1. For New Employees (Person matching resulted in no match): If Eligibility Indicators W or C are received on the USPS Inbound file, then PSHBS will accept these records and store these values and update the eligibility status indicator to "E". All other downstream functions will remain as it is without any changes.
2. For Existing Employees (Person matching resulted an exact match): If Eligibility Indicators W or C are received on the USPS Inbound file, then PSHBS will store these values and not update the existing eligibility status indicator  (I,E,A). All other downstream functions will remain as it is without any changes.</t>
  </si>
  <si>
    <t>`pshbEligibilityStatus` IS NULL OR trim(cast(`pshbEligibilityStatus` as string)) &lt;&gt; '' /* schema:optional, valid:field_match, datafiles:match, db:column_match */</t>
  </si>
  <si>
    <t>Validation List Field/Area: PSHB Eligibility Status. | Eligibility Status of Employee. This will indicate the logic for an Employee to shop for plans on PSHBS | Applies to: Conversion; file scope: Full File. | Replaces the narrower legacy candidate with product-approved one-character values.</t>
  </si>
  <si>
    <t>Validations List.xlsx::Employment::VAL0263</t>
  </si>
  <si>
    <t>VAL0263</t>
  </si>
  <si>
    <t>ERR-EMP-063</t>
  </si>
  <si>
    <t>VAL-01387</t>
  </si>
  <si>
    <t>ERR-EMP-01387</t>
  </si>
  <si>
    <t>pshbRateCategoryCode must be one of C, D, N, F, T, U, Y, or E when provided.</t>
  </si>
  <si>
    <t>`pshbRateCategoryCode` IS NULL OR (upper(trim(`pshbRateCategoryCode`)) IN ('C', 'D', 'N', 'F', 'T', 'U', 'Y', 'E'))</t>
  </si>
  <si>
    <t>`pshbRateCategoryCode` IS NULL OR upper(trim(cast(`pshbRateCategoryCode` as string))) IN ('C', 'D', 'N', 'F', 'T', 'U', 'Y', 'E') /* schema:optional, valid:field_match, datafiles:match, db:column_match */ | baseline: `pshbRateCategoryCode` IS NULL OR (upper(trim(`pshbRateCategoryCode`)) IN ('C', 'D', 'N', 'F', 'T', 'U', 'Y', 'E'))</t>
  </si>
  <si>
    <t>C, D, N, F, T, U, Y, E</t>
  </si>
  <si>
    <t>Data Files07102026.xlsx::Employment!row 56</t>
  </si>
  <si>
    <t>VAL-02985</t>
  </si>
  <si>
    <t>ERR-EMP-02985</t>
  </si>
  <si>
    <t>Valid Values C, D, N, F, T, U, Y, E</t>
  </si>
  <si>
    <t>`pshbRateCategoryCode` IS NULL OR upper(trim(cast(`pshbRateCategoryCode` as string))) IN ('VALID VALUES C', 'D', 'N', 'F', 'T', 'U', 'Y', 'E') /* schema:optional, valid:field_match, datafiles:match, db:column_match */ | baseline: `pshbRateCategoryCode` IS NULL OR (upper(trim(`pshbRateCategoryCode`)) IN ('C', 'D', 'N', 'F', 'T', 'U', 'Y', 'E'))</t>
  </si>
  <si>
    <t>Validation List Field/Area: PSHB Rate Category Code. | The 1-character PSHB Rate Category Code used in conjunction with Rate Schedule Code to determine health premium rates. Used with payGroup. | Applies to: Conversion; file scope: Full File. | Adds product-approved values C,D,N,F,T,U,Y,E.</t>
  </si>
  <si>
    <t>Validations List.xlsx::Employment::VAL0267</t>
  </si>
  <si>
    <t>VAL0267</t>
  </si>
  <si>
    <t>ERR-EMP-067</t>
  </si>
  <si>
    <t>VAL-02984</t>
  </si>
  <si>
    <t>ERR-EMP-02984</t>
  </si>
  <si>
    <t>pshbRateCategoryCode, pshbRateScheduleCode</t>
  </si>
  <si>
    <t>The 2-character PSHB-specific Rate Schedule Code that determines which premium rate schedule applies to the member's health plan enrollment. Used in conjunction with Rate Category Code to calculate plan premiums.</t>
  </si>
  <si>
    <t>`pshbRateCategoryCode, pshbRateScheduleCode` IS NULL OR trim(cast(`pshbRateCategoryCode, pshbRateScheduleCode` as string)) &lt;&gt; '' /* schema:optional, valid:no_match, datafiles:match, db:column_match */</t>
  </si>
  <si>
    <t>≤ 1 characters; ≤ 2 characters</t>
  </si>
  <si>
    <t>Validation List Field/Area: PSHB Rate Schedule Code. | Determines the plan premium rates that will apply to the individual based on the rate schedule | Applies to: Conversion; file scope: Full File. | Adds the missing two-field premium schedule determination.</t>
  </si>
  <si>
    <t>Validations List.xlsx::Employment::VAL0266</t>
  </si>
  <si>
    <t>VAL0266</t>
  </si>
  <si>
    <t>ERR-EMP-066</t>
  </si>
  <si>
    <t>VAL-01384</t>
  </si>
  <si>
    <t>ERR-EMP-01384</t>
  </si>
  <si>
    <t>`pshbRateScheduleCode` IS NULL OR upper(trim(cast(`pshbRateScheduleCode` as string))) IN ('PB') /* schema:optional, valid:field_match, datafiles:match, db:check_mapping */</t>
  </si>
  <si>
    <t>Data Files07102026.xlsx::Employment!row 55</t>
  </si>
  <si>
    <t>VAL-01302</t>
  </si>
  <si>
    <t>ERR-EMP-01302</t>
  </si>
  <si>
    <t>Value must match have business-approved pattern</t>
  </si>
  <si>
    <t>`reason` IS NULL OR (`reason` RLIKE '^(0[1-9]|[1-5][0-9]|6[0-4])$')</t>
  </si>
  <si>
    <t>`reason` IS NULL OR upper(trim(cast(`reason` as string))) IN ('02=TEMPORARY HIGHER ROLE', '03=INITIAL APPOINTMENT', '04=REHIRE AFTER TERMINATION', '05=RETURN FROM LEAVE', '07=TRAINEE', 'TRAINING STATUS', '08=MILITARY LEAVE (USERRA)', '11=FURLOUGHED', '13=PARENTAL LEAVE', '14=SABBATICAL', 'EDUCATIONAL LEAVE', '15=ADMINISTRATIVE LEAVE', '16=DONATED LEAVE', 'LEAVE BANK', '18=PERSONAL', '19=MEDICAL', '21=UNPAID FMLA', '22=UNPAID MATERNITY', '23=UNPAID MEDICAL LEAVE', '24=UNPAID MILITARY') /* schema:optional, valid:no_match, datafiles:match, db:column_match */ | baseline: `reason` IS NULL OR (`reason` RLIKE '^(0[1-9]|[1-5][0-9]|6[0-4])$')</t>
  </si>
  <si>
    <t>Represents the HR reason associated with an action; Cross reference with "Emp Status Map"; Codes are coming on the data file; Allowed-value/reference checks are business validations unless the JSON Schema defines an enum.</t>
  </si>
  <si>
    <t>Data Files07102026.xlsx::Employment!row 25</t>
  </si>
  <si>
    <t>VAL-01414</t>
  </si>
  <si>
    <t>ERR-EMP-01414</t>
  </si>
  <si>
    <t>`reEmployedAnnuitantIndicator` IS NULL OR upper(trim(cast(`reEmployedAnnuitantIndicator` as string))) IN ('Y') /* schema:optional, valid:field_match, datafiles:match, db:column_match */ | baseline: `reEmployedAnnuitantIndicator` IS NULL OR (typeof(`reEmployedAnnuitantIndicator`) = 'boolean')</t>
  </si>
  <si>
    <t>validation not required as  Field datatype is boolean</t>
  </si>
  <si>
    <t>Data Files07102026.xlsx::Employment!row 65</t>
  </si>
  <si>
    <t>VAL-02994</t>
  </si>
  <si>
    <t>ERR-EMP-02994</t>
  </si>
  <si>
    <t>Yes/No Field – If this is provided, the Annuitant has been re-employed as an Employee.  This will drive changing the Payroll Office. Re-Employed Annuitants will be flagged and included in the error report.</t>
  </si>
  <si>
    <t>`reEmployedAnnuitantIndicator` IS NULL OR trim(cast(`reEmployedAnnuitantIndicator` as string)) &lt;&gt; '' /* schema:optional, valid:field_match, datafiles:match, db:column_match */</t>
  </si>
  <si>
    <t>Validation List Field/Area: Re-Employed Annuitant Indicator. | Indicates that the member is a federal retiree who has been re-hired into an active federal employment position. This status triggers special PSHB processing rules. | Applies to: Conversion; file scope: Full File. | Boolean structure exists; downstream behavior is captured for implementation.</t>
  </si>
  <si>
    <t>Validations List.xlsx::Employment::VAL0276</t>
  </si>
  <si>
    <t>VAL0276</t>
  </si>
  <si>
    <t>ERR-EMP-076</t>
  </si>
  <si>
    <t>VAL-01411</t>
  </si>
  <si>
    <t>ERR-EMP-01411</t>
  </si>
  <si>
    <t>reinstatementDate must be a valid calendar date in yyyy-MM-dd format.</t>
  </si>
  <si>
    <t xml:space="preserve">`reinstatementDate` IS NULL OR (`reinstatementDate` RLIKE '^[0-9]{4}-(0[1-9]|1[0-2])-(0[1-9]|[12][0-9]|3[01])$' AND to_date(`reinstatementDate`, 'yyyy-MM-dd') IS NOT NULL </t>
  </si>
  <si>
    <t>`reinstatementDate` IS NULL OR to_date(cast(`reinstatementDate` as string), 'yyyy-MM-dd') IS NOT NULL /* schema:optional, valid:field_match, datafiles:match, db:column_match */ | baseline: `reinstatementDate` IS NULL OR (`reinstatementDate` RLIKE '^[0-9]{4}-(0[1-9]|1[0-2])-(0[1-9]|[12][0-9]|3[01])$' AND to_date(`reinstatementDate`, 'yyyy-MM-dd') IS NOT NULL AND to_da</t>
  </si>
  <si>
    <t>Data Files07102026.xlsx::Employment!row 64</t>
  </si>
  <si>
    <t>VAL-02993</t>
  </si>
  <si>
    <t>ERR-EMP-02993</t>
  </si>
  <si>
    <t>YYYYMMDD. if plate was terminated and reinstated, look for continous payment, if no supplemental payment bridge break in payment do not apply as a reinstatement.</t>
  </si>
  <si>
    <t>`reinstatementDate` IS NULL OR trim(cast(`reinstatementDate` as string)) &lt;&gt; '' /* schema:optional, valid:field_match, datafiles:match, db:column_match */</t>
  </si>
  <si>
    <t>Validation List Field/Area: Reinstatement Date. | Populated as Reinstatment Date when the Reinstatement indicator is Y | Applies to: Conversion; file scope: Full File. | Also requires continuous/supplemental-payment bridge data that is outside the payload.</t>
  </si>
  <si>
    <t>Validations List.xlsx::Employment::VAL0275</t>
  </si>
  <si>
    <t>VAL0275</t>
  </si>
  <si>
    <t>ERR-EMP-075</t>
  </si>
  <si>
    <t>VAL-01393</t>
  </si>
  <si>
    <t>ERR-EMP-01393</t>
  </si>
  <si>
    <t>`rsActionCode` IS NULL OR upper(trim(cast(`rsActionCode` as string))) IN ('A01') /* schema:optional, valid:field_match, datafiles:match, db:column_match */</t>
  </si>
  <si>
    <t>Data Files07102026.xlsx::Employment!row 58</t>
  </si>
  <si>
    <t>VAL-02987</t>
  </si>
  <si>
    <t>ERR-EMP-02987</t>
  </si>
  <si>
    <t>A01, A02, F05, etc
Key valid values:
A01 = Annuitant Add (Initial)
A02 = Annuitant Add (Retroactive)
A03-A05 = Annuity restorations (manual admin process)
B05 = Beneficiary change
F01 = Death
F02-F07 = Various drops
F05 = Elected OWCP
F11/F16/F18-F21 = Additional drop codes
H01-H18 = Suspension codes
J01 = OWCP-related</t>
  </si>
  <si>
    <t>`rsActionCode` IS NULL OR upper(trim(cast(`rsActionCode` as string))) IN ('A01', 'A02', 'F05', 'ETC', 'KEY VALID VALUES:', 'F01 = DEATH', 'F11', 'F16', 'J01 = OWCP-RELATED') /* schema:optional, valid:field_match, datafiles:match, db:column_match */</t>
  </si>
  <si>
    <t>Validation List Field/Area: RS Action Code. | This field can assist with annuitant-related business process rules for Health Benefit Eligibility Determination. 3-character RS/OPM Pay Action Code that identifies annuitant-specific eligibility and status change events. This is distinct from the HR Action field (HIRE/TERM/LEAVE) and must be stored separately or mapped through a crosswalk. | Applies to: Conversion; file scope: Full File. | Adds separate-storage and crosswalk behavior.</t>
  </si>
  <si>
    <t>Validations List.xlsx::Employment::VAL0269</t>
  </si>
  <si>
    <t>VAL0269</t>
  </si>
  <si>
    <t>ERR-EMP-069</t>
  </si>
  <si>
    <t>VAL-01350</t>
  </si>
  <si>
    <t>ERR-EMP-01350</t>
  </si>
  <si>
    <t>`salaryRateCode` IS NULL OR trim(cast(`salaryRateCode` as string)) &lt;&gt; '' /* schema:optional, valid:no_match, datafiles:match, db:column_match */</t>
  </si>
  <si>
    <t>2-character code indicating the time or production basis used to calculate the employee's compensation, documented on SF-50 Block 21. PA=Per Annum (standard GS). PH=Per Hour (WG/WL/WS). BW=Biweekly. SY=School Year. ST=Student. CY=Cyber. WC=Without Compensation. Monthly MO is NOT a valid OPM Pay Basis code.; Allowed-value/reference checks are business validations unless the JSON Schema defines an enum.</t>
  </si>
  <si>
    <t>Data Files07102026.xlsx::Employment!row 43</t>
  </si>
  <si>
    <t>VAL-02833</t>
  </si>
  <si>
    <t>ERR-EMP-02833</t>
  </si>
  <si>
    <t>Employment record with Source Assignment Id must link to an Employment assignment for the same Employee ID/employer.</t>
  </si>
  <si>
    <t>`sourceAssignmentId` IS NULL OR trim(cast(`sourceAssignmentId` as string)) &lt;&gt; '' /* schema:optional, valid:field_match, datafiles:match, db:column_match */</t>
  </si>
  <si>
    <t>Standard Files/File Considerations</t>
  </si>
  <si>
    <t>ERR-EMP-12833</t>
  </si>
  <si>
    <t>sourceAssignmentId must be of max length 12</t>
  </si>
  <si>
    <t> `sourceAssignmentId` IS NULL OR length('sourceAssignmentId') = 12</t>
  </si>
  <si>
    <t>ERR-EMP-12834</t>
  </si>
  <si>
    <t>sourceAssignmentId must be a valid pattern</t>
  </si>
  <si>
    <t>  `sourceAssignmentId` IS NULL OR trim('sourceAssignmentId') RLIKE '^[A-Za-z0-9]{1,12}$'</t>
  </si>
  <si>
    <t>VAL-01244</t>
  </si>
  <si>
    <t>ERR-EMP-01244</t>
  </si>
  <si>
    <t>`sourceFileName` IS NULL OR upper(trim(cast(`sourceFileName` as string))) IN ('01_EMPLOY_MMDDYYYY') /* schema:optional, valid:no_match, datafiles:match, db:column_match */</t>
  </si>
  <si>
    <t>Unique file name for each type of file (e.g. Personal, Employment, Relationship...); Allowed-value/reference checks are business validations unless the JSON Schema defines an enum.</t>
  </si>
  <si>
    <t>Data Files07102026.xlsx::Employment!row 7</t>
  </si>
  <si>
    <t>VAL-01362</t>
  </si>
  <si>
    <t>ERR-EMP-01362</t>
  </si>
  <si>
    <t>`specialEmployeeCode` IS NULL OR trim(cast(`specialEmployeeCode` as string)) &lt;&gt; '' /* schema:optional, valid:no_match, datafiles:match, db:check_mapping */</t>
  </si>
  <si>
    <t>Duplicate of VAL-02965</t>
  </si>
  <si>
    <t>Agency/retirement-system-specific code identifying employees with enhanced retirement provisions such as law enforcement officers and firefighters, transmitted in the FESI102 pension feed (not in EHRI HR Status). 1=LEO 6(c). 2=Firefighter. 3=Nuclear Materials Courier. 4=Capitol Police. 5=Supreme Court Police. 6=CBP Officer.; Allowed-value/reference checks are business validations unless the JSON Schema defines an enum.</t>
  </si>
  <si>
    <t>Data Files07102026.xlsx::Employment!row 47</t>
  </si>
  <si>
    <t>VAL-02965</t>
  </si>
  <si>
    <t>ERR-EMP-02965</t>
  </si>
  <si>
    <t>Must contain configured valid values when populated</t>
  </si>
  <si>
    <t>Validation List Field/Area: Special codes. | Invalid special employment code value. | Applies to: Both; file scope: Both. | Mapped to datatype, length, and configured-value checks.</t>
  </si>
  <si>
    <t>Validations List.xlsx::Employment::VAL0214</t>
  </si>
  <si>
    <t>VAL0214</t>
  </si>
  <si>
    <t>ERR-EMP-014</t>
  </si>
  <si>
    <t>VAL-01294</t>
  </si>
  <si>
    <t>ERR-EMP-01294</t>
  </si>
  <si>
    <t>status must be one of: ACT, TERM, LOA, DTH, DIS, DIV.</t>
  </si>
  <si>
    <t>`status` IS NULL OR (upper(trim(`status`)) IN ('ACT', 'TERM', 'LOA', 'DTH', 'DIS', 'DIV'))</t>
  </si>
  <si>
    <t>`status` IS NULL OR upper(trim(cast(`status` as string))) IN ('ACT', 'TERM', 'LOA', 'DTH', 'DIS', 'DIV') /* schema:optional, valid:no_match, datafiles:match, db:column_match */ | baseline: `status` IS NULL OR (upper(trim(`status`)) IN ('ACT', 'TERM', 'LOA', 'DTH', 'DIS', 'DIV'))</t>
  </si>
  <si>
    <t>If not provided, derive value based on mappings; Allowed-value/reference checks are business validations unless the JSON Schema defines an enum.</t>
  </si>
  <si>
    <t>Data Files07102026.xlsx::Employment!row 23</t>
  </si>
  <si>
    <t>VAL-01390</t>
  </si>
  <si>
    <t>ERR-EMP-01390</t>
  </si>
  <si>
    <t>`terminationNoaCode` IS NULL OR upper(trim(cast(`terminationNoaCode` as string))) IN ('310') /* schema:optional, valid:field_match, datafiles:match, db:column_match */</t>
  </si>
  <si>
    <t>Data Files07102026.xlsx::Employment!row 57</t>
  </si>
  <si>
    <t>VAL-02986</t>
  </si>
  <si>
    <t>ERR-EMP-02986</t>
  </si>
  <si>
    <t>"NOA Code 300-304: No impact on system behaviour. These will come with the A - Annuitant Flag and will have no downstream impact.
NOA Code 310, 313, 320, 350: These will come with the R - Terminated Eligbility Indicator. These termination types have special rules and are covered under Termination and/or TCC Rules.
Rest of the NOA Codes (317, 324, 325, 326, 328, 329, 346, 352, 354, 356, 357, 358, 398, 399): These will come with the R - Terminated Eligbility Indicator. No special rules for these. Employee coverage will be terminated and run TCC check. Covered under Termination and TCC rules.</t>
  </si>
  <si>
    <t>`terminationNoaCode` IS NULL OR trim(cast(`terminationNoaCode` as string)) &lt;&gt; '' /* schema:optional, valid:field_match, datafiles:match, db:column_match */</t>
  </si>
  <si>
    <t>Validation List Field/Area: Termination NOA Code. | Termination Type NOA codes define the type of terminations and will be covered in the Termination/TCC Rules. | Applies to: Conversion; file scope: Full File. | Structural checks exist; product code-group behavior still needs its reference list.</t>
  </si>
  <si>
    <t>Validations List.xlsx::Employment::VAL0268</t>
  </si>
  <si>
    <t>VAL0268</t>
  </si>
  <si>
    <t>ERR-EMP-068</t>
  </si>
  <si>
    <t>VAL-01405</t>
  </si>
  <si>
    <t>ERR-EMP-01405</t>
  </si>
  <si>
    <t>transferInEffectiveDate must be a valid calendar date in yyyy-MM-dd format.</t>
  </si>
  <si>
    <t>`transferInEffectiveDate` IS NULL OR (`transferInEffectiveDate` RLIKE '^[0-9]{4}-(0[1-9]|1[0-2])-(0[1-9]|[12][0-9]|3[01])$' AND to_date(`transferInEffectiveDate`, 'yyyy-MM-dd') IS NOT NULL AND to_date(`transferInEffectiveDate`, 'yyyy-MM-dd') BETWEEN DATE '1900-01-01' AND DATE '2036-12-31')</t>
  </si>
  <si>
    <t xml:space="preserve">`transferInEffectiveDate` IS NULL OR to_date(cast(`transferInEffectiveDate` as string), 'yyyy-MM-dd') IS NOT NULL /* schema:required, valid:field_match, datafiles:match, db:column_match */ | baseline: `transferInEffectiveDate` IS NULL OR (`transferInEffectiveDate` RLIKE '^[0-9]{4}-(0[1-9]|1[0-2])-(0[1-9]|[12][0-9]|3[01])$' AND to_date(`transferInEffectiveDate`, 'yyyy-MM-dd') IS </t>
  </si>
  <si>
    <t>Data Files07102026.xlsx::Employment!row 62</t>
  </si>
  <si>
    <t>VAL-02961</t>
  </si>
  <si>
    <t>ERR-EMP-02961</t>
  </si>
  <si>
    <t>unionAffiliation, unionCode</t>
  </si>
  <si>
    <t>Union Code is required when Union Affiliation indicates union membership</t>
  </si>
  <si>
    <t>`unionAffiliation` IS NULL OR `unionAffiliation` = FALSE OR (`unionCode` IS NOT NULL AND trim(`unionCode`) &lt;&gt; '')</t>
  </si>
  <si>
    <t>`unionAffiliation, unionCode` IS NOT NULL AND trim(cast(`unionAffiliation, unionCode` as string)) &lt;&gt; '' /* schema:optional, valid:no_match, datafiles:match, db:check_mapping */ | baseline: `unionAffiliation` IS NULL OR `unionAffiliation` = FALSE OR (`unionCode` IS NOT NULL AND trim(`unionCode`) &lt;&gt; '')</t>
  </si>
  <si>
    <t>boolean, string</t>
  </si>
  <si>
    <t>Validation List Field/Area: Union Code conditionality. | Union Code is required when Union Affiliation indicates union membership. | Applies to: Both; file scope: Both. | Adds the missing conditional-required rule.</t>
  </si>
  <si>
    <t>Validations List.xlsx::Employment::VAL0210</t>
  </si>
  <si>
    <t>VAL0210</t>
  </si>
  <si>
    <t>ERR-EMP-010</t>
  </si>
  <si>
    <t>VAL-01332</t>
  </si>
  <si>
    <t>ERR-EMP-01332</t>
  </si>
  <si>
    <t>`unionCode` IS NULL OR trim(cast(`unionCode` as string)) &lt;&gt; '' /* schema:optional, valid:no_match, datafiles:match, db:check_mapping */</t>
  </si>
  <si>
    <t xml:space="preserve">Approved allowed values are not supplied in the JSON schema </t>
  </si>
  <si>
    <t>When union affiliation is yes, a code is stored in this field. Configurable to client.; Allowed-value/reference checks are business validations unless the JSON Schema defines an enum.</t>
  </si>
  <si>
    <t>Data Files07102026.xlsx::Employment!row 37</t>
  </si>
  <si>
    <t>VAL-02956</t>
  </si>
  <si>
    <t>ERR-EMP-02956</t>
  </si>
  <si>
    <t>Update Type must be valid; conversion loads should enforce Prior where applicable</t>
  </si>
  <si>
    <t>`updateType` IS NULL OR trim(cast(`updateType` as string)) &lt;&gt; '' /* schema:optional, valid:field_match, datafiles:match, db:check_mapping */</t>
  </si>
  <si>
    <t>Validation List Field/Area: Update Type. | Invalid Update Type. Value must be a configured valid option for the load scenario. | Applies to: Both; file scope: Both. | The schema permits CURRENT/null; product conversion logic expects PRIOR and needs a conversion-specific contract.</t>
  </si>
  <si>
    <t>Validations List.xlsx::Employment::VAL0205</t>
  </si>
  <si>
    <t>VAL0205</t>
  </si>
  <si>
    <t>ERR-EMP-005</t>
  </si>
  <si>
    <t>VAL-01947</t>
  </si>
  <si>
    <t>ERR-REL-01947</t>
  </si>
  <si>
    <t>employeeSourceAssignmentId</t>
  </si>
  <si>
    <t>`employeeSourceAssignmentId` IS NULL OR (typeof(`employeeSourceAssignmentId`) = 'string')</t>
  </si>
  <si>
    <t>`employeeSourceAssignmentId` IS NULL OR cast(`employeeSourceAssignmentId` as decimal(38,10)) IS NOT NULL /* schema:optional, valid:no_match, datafiles:match, db:column_match */ | baseline: `employeeSourceAssignmentId` IS NULL OR (typeof(`employeeSourceAssignmentId`) = 'string')</t>
  </si>
  <si>
    <t>An assignment key that identifies the job in case of employee having the same employee id across multiple job under the same employer; This does not get loaded; this and other fields (Unique Identifier, Employee Last Name, Employee First Name) are used to identify a record in the system.</t>
  </si>
  <si>
    <t>Data Files07102026.xlsx::Relationship!row 18 | Data Files07102026.xlsx::SmartDEV!row 18</t>
  </si>
  <si>
    <t>VAL-01948</t>
  </si>
  <si>
    <t>ERR-REL-01948</t>
  </si>
  <si>
    <t>employeeSourceAssignmentId must not exceed 12 characters.</t>
  </si>
  <si>
    <t>`employeeSourceAssignmentId` IS NULL OR (length(`employeeSourceAssignmentId`) &lt;= 12)</t>
  </si>
  <si>
    <t>`employeeSourceAssignmentId` IS NULL OR length(cast(`employeeSourceAssignmentId` as string)) &lt;= 12 /* schema:optional, valid:no_match, datafiles:match, db:column_match */ | baseline: `employeeSourceAssignmentId` IS NULL OR (length(`employeeSourceAssignmentId`) &lt;= 12)</t>
  </si>
  <si>
    <t>VAL-01944</t>
  </si>
  <si>
    <t>ERR-REL-01944</t>
  </si>
  <si>
    <t>Employee's identifier; this could be the SSN or Employee Id to be determined by the project team. This does not get loaded; this and other fields (Employee Source Assignment Id, Employee Last Name, Employee First Name) are used to identify the employee record in the system to which the non-employee person records to be associated with.</t>
  </si>
  <si>
    <t>Data Files07102026.xlsx::Relationship!row 17</t>
  </si>
  <si>
    <t>VAL-01945</t>
  </si>
  <si>
    <t>ERR-REL-01945</t>
  </si>
  <si>
    <t>Data Files07102026.xlsx::Relationship!row 17 | Data Files07102026.xlsx::SmartDEV!row 17</t>
  </si>
  <si>
    <t>VAL-01946</t>
  </si>
  <si>
    <t>ERR-REL-01946</t>
  </si>
  <si>
    <t>employeeUniqueId must not exceed 64 characters.</t>
  </si>
  <si>
    <t>`employeeUniqueId` IS NULL OR (length(`employeeUniqueId`) &lt;= 64)</t>
  </si>
  <si>
    <t>`employeeUniqueId` IS NULL OR length(cast(`employeeUniqueId` as string)) &lt;= 1 /* schema:required, valid:no_match, datafiles:check, db:column_match */ | baseline: `employeeUniqueId` IS NULL OR (length(`employeeUniqueId`) &lt;= 64)</t>
  </si>
  <si>
    <t>VAL-01910</t>
  </si>
  <si>
    <t>ERR-REL-01910</t>
  </si>
  <si>
    <t>Unique employer code that would be generated by BenefitsIQ; this code to be used by employer when they provide these files</t>
  </si>
  <si>
    <t>Data Files07102026.xlsx::Relationship!row 6</t>
  </si>
  <si>
    <t>VAL-01911</t>
  </si>
  <si>
    <t>ERR-REL-01911</t>
  </si>
  <si>
    <t>`employerCode` IS NULL OR cast(`employerCode` as decimal(38,10)) IS NOT NULL /* schema:required, valid:field_match, datafiles:match, db:column_match */ | baseline: `employerCode` IS NULL OR (typeof(`employerCode`) = 'string')</t>
  </si>
  <si>
    <t>Data Files07102026.xlsx::Relationship!row 6 | Data Files07102026.xlsx::SmartDEV!row 6</t>
  </si>
  <si>
    <t>VAL-01912</t>
  </si>
  <si>
    <t>ERR-REL-01912</t>
  </si>
  <si>
    <t>VAL-01913</t>
  </si>
  <si>
    <t>ERR-REL-01913</t>
  </si>
  <si>
    <t>`employerCode` IS NULL OR upper(trim(cast(`employerCode` as string))) IN ('E001') /* schema:required, valid:field_match, datafiles:match, db:column_match */ | baseline: `employerCode` IS NULL OR (`employerCode` RLIKE '^[A-Za-z0-9]{1,4}$')</t>
  </si>
  <si>
    <t>VAL-00045</t>
  </si>
  <si>
    <t>ERR-REL-00045</t>
  </si>
  <si>
    <t>relatedPerson.addresses is required and must not be blank.</t>
  </si>
  <si>
    <t>`addresses` IS NOT NULL</t>
  </si>
  <si>
    <t>`relatedPerson.addresses` IS NOT NULL AND trim(cast(`relatedPerson.addresses` as string)) &lt;&gt; '' /* schema:unmapped, valid:no_match, datafiles:check, db:column_match */ | baseline: `relatedPerson`.`addresses` IS NOT NULL</t>
  </si>
  <si>
    <t>Canonicalized from an implemented composite structural rule.</t>
  </si>
  <si>
    <t>Current implemented L1 config | Canonical atomic rule</t>
  </si>
  <si>
    <t>structural_rules.yaml via Current L1 Config</t>
  </si>
  <si>
    <t>ERR-REL-03013</t>
  </si>
  <si>
    <t>`relatedPerson.addresses` IS NULL OR size(`relatedPerson.addresses`) &gt;= 0 /* schema:unmapped, valid:no_match, datafiles:check, db:column_match */ | baseline: `relatedPerson`.`addresses` IS NULL OR (typeof(`relatedPerson`.`addresses`) LIKE 'array&lt;%')</t>
  </si>
  <si>
    <t>VAL-02008</t>
  </si>
  <si>
    <t>ERR-REL-02008</t>
  </si>
  <si>
    <t>`relatedPerson.addresses[].addressLine2` IS NULL OR cast(`relatedPerson.addresses[].addressLine2` as decimal(38,10)) IS NOT NULL /* schema:unmapped, valid:no_match, datafiles:check, db:column_match */ | baseline: `relatedPerson`.`addresses` IS NULL OR forall(`relatedPerson`.`addresses`, address_item -&gt; (address_item.`addressLine2` IS NULL OR (typeof(address_item.`addressLine2`) = 'string'))</t>
  </si>
  <si>
    <t>Address line 2</t>
  </si>
  <si>
    <t>Data Files07102026.xlsx::Relationship!row 39 | Data Files07102026.xlsx::Relationship!row 48 | Data Files07102026.xlsx::Relationship!row 57 | Data Files07102026.xlsx::SmartDEV!row 38</t>
  </si>
  <si>
    <t>VAL-02009</t>
  </si>
  <si>
    <t>ERR-REL-02009</t>
  </si>
  <si>
    <t>relatedPerson.addresses[].addressLine2 must not exceed 200 characters.</t>
  </si>
  <si>
    <t>`relatedPerson.addresses[].addressLine2` IS NULL OR length(cast(`relatedPerson.addresses[].addressLine2` as string)) &lt;= 200 /* schema:unmapped, valid:no_match, datafiles:check, db:column_match */ | baseline: `relatedPerson`.`addresses` IS NULL OR forall(`relatedPerson`.`addresses`, address_item -&gt; (address_item.`addressLine2` IS NULL OR (length(address_item.`addressLine2`) &lt;= 200)))</t>
  </si>
  <si>
    <t>VAL-02003</t>
  </si>
  <si>
    <t>ERR-REL-02003</t>
  </si>
  <si>
    <t>`relatedPerson.addresses[].addressType` IS NULL OR typeof(`relatedPerson.addresses[].addressType`) = 'string' /* schema:unmapped, valid:no_match, datafiles:match, db:column_match */ | baseline: `relatedPerson`.`addresses` IS NULL OR forall(`relatedPerson`.`addresses`, address_item -&gt; (address_item.`addressType` IS NULL OR (typeof(address_item.`addressType`) = 'string')))</t>
  </si>
  <si>
    <t>Indicates address type</t>
  </si>
  <si>
    <t>Data Files07102026.xlsx::Relationship!row 37 | Data Files07102026.xlsx::Relationship!row 46 | Data Files07102026.xlsx::Relationship!row 55</t>
  </si>
  <si>
    <t>VAL-02004</t>
  </si>
  <si>
    <t>ERR-REL-02004</t>
  </si>
  <si>
    <t>`addresses` IS NULL OR forall(`addresses`, address_item -&gt; (address_item.`addressType` IS NULL OR (length(address_item.`addressType`) &lt;= 1)))</t>
  </si>
  <si>
    <t>`relatedPerson.addresses[].addressType` IS NULL OR length(cast(`relatedPerson.addresses[].addressType` as string)) &lt;= 1 /* schema:unmapped, valid:no_match, datafiles:match, db:column_match */ | baseline: `relatedPerson`.`addresses` IS NULL OR forall(`relatedPerson`.`addresses`, address_item -&gt; (address_item.`addressType` IS NULL OR (length(address_item.`addressType`) &lt;= 1)))</t>
  </si>
  <si>
    <t>VAL-02005</t>
  </si>
  <si>
    <t>ERR-REL-02005</t>
  </si>
  <si>
    <t>relatedPerson.addresses[].addressType must be one of: H, W, A.</t>
  </si>
  <si>
    <t xml:space="preserve">`relatedPerson.addresses[].addressType` IS NULL OR upper(trim(cast(`relatedPerson.addresses[].addressType` as string))) IN ('H', 'W', 'A') /* schema:unmapped, valid:no_match, datafiles:match, db:column_match */ | baseline: `relatedPerson`.`addresses` IS NULL OR forall(`relatedPerson`.`addresses`, address_item -&gt; (address_item.`addressType` IS NULL OR (upper(trim(address_item.`addressType`)) IN ('H', </t>
  </si>
  <si>
    <t>VAL-00047</t>
  </si>
  <si>
    <t>ERR-REL-00047</t>
  </si>
  <si>
    <t>relatedPerson.addresses[].city is required and must not be blank.</t>
  </si>
  <si>
    <t>`addresses` IS NULL OR forall(`addresses`, address_item -&gt; (address_item.`city` IS NOT NULL AND trim(address_item.`city`) &lt;&gt; ''))</t>
  </si>
  <si>
    <t>`relatedPerson.addresses[].city` IS NOT NULL AND trim(cast(`relatedPerson.addresses[].city` as string)) &lt;&gt; '' /* schema:unmapped, valid:no_match, datafiles:match, db:column_match */ | baseline: `relatedPerson`.`addresses` IS NULL OR forall(`relatedPerson`.`addresses`, address_item -&gt; (address_item.`city` IS NOT NULL AND trim(address_item.`city`) &lt;&gt; ''))</t>
  </si>
  <si>
    <t>VAL-02010</t>
  </si>
  <si>
    <t>ERR-REL-02010</t>
  </si>
  <si>
    <t>`relatedPerson.addresses[].city` IS NULL OR cast(`relatedPerson.addresses[].city` as decimal(38,10)) IS NOT NULL /* schema:unmapped, valid:no_match, datafiles:match, db:column_match */ | baseline: `relatedPerson`.`addresses` IS NULL OR forall(`relatedPerson`.`addresses`, address_item -&gt; (address_item.`city` IS NULL OR (typeof(address_item.`city`) = 'string')))</t>
  </si>
  <si>
    <t>Data Files07102026.xlsx::Relationship!row 40 | Data Files07102026.xlsx::Relationship!row 49 | Data Files07102026.xlsx::Relationship!row 58 | Data Files07102026.xlsx::SmartDEV!row 39</t>
  </si>
  <si>
    <t>ERR-REL-03014</t>
  </si>
  <si>
    <t>`relatedPerson.addresses[].city` IS NULL OR typeof(`relatedPerson.addresses[].city`) = 'string' /* schema:unmapped, valid:no_match, datafiles:match, db:column_match */ | baseline: `relatedPerson`.`addresses` IS NULL OR forall(`relatedPerson`.`addresses`, address_item -&gt; (address_item.`city` IS NULL OR (typeof(address_item.`city`) = 'string')))</t>
  </si>
  <si>
    <t>VAL-02011</t>
  </si>
  <si>
    <t>ERR-REL-02011</t>
  </si>
  <si>
    <t>relatedPerson.addresses[].city must not exceed 50 characters.</t>
  </si>
  <si>
    <t>`relatedPerson.addresses[].city` IS NULL OR length(cast(`relatedPerson.addresses[].city` as string)) &lt;= 50 /* schema:unmapped, valid:no_match, datafiles:match, db:column_match */ | baseline: `relatedPerson`.`addresses` IS NULL OR forall(`relatedPerson`.`addresses`, address_item -&gt; (address_item.`city` IS NULL OR (length(address_item.`city`) &lt;= 50)))</t>
  </si>
  <si>
    <t>VAL-03015</t>
  </si>
  <si>
    <t>ERR-REL-03015</t>
  </si>
  <si>
    <t>VAL-00050</t>
  </si>
  <si>
    <t>ERR-REL-00050</t>
  </si>
  <si>
    <t>relatedPerson.addresses[].country is required and must not be blank.</t>
  </si>
  <si>
    <t>`addresses` IS NULL OR forall(`addresses`, address_item -&gt; (address_item.`country` IS NOT NULL AND trim(address_item.`country`) &lt;&gt; ''))</t>
  </si>
  <si>
    <t>`relatedPerson.addresses[].country` IS NOT NULL AND trim(cast(`relatedPerson.addresses[].country` as string)) &lt;&gt; '' /* schema:unmapped, valid:no_match, datafiles:match, db:column_match */ | baseline: `relatedPerson`.`addresses` IS NULL OR forall(`relatedPerson`.`addresses`, address_item -&gt; (address_item.`country` IS NOT NULL AND trim(address_item.`country`) &lt;&gt; ''))</t>
  </si>
  <si>
    <t>VAL-02023</t>
  </si>
  <si>
    <t>ERR-REL-02023</t>
  </si>
  <si>
    <t>`relatedPerson.addresses[].country` IS NULL OR typeof(`relatedPerson.addresses[].country`) = 'string' /* schema:unmapped, valid:no_match, datafiles:match, db:column_match */ | baseline: `relatedPerson`.`addresses` IS NULL OR forall(`relatedPerson`.`addresses`, address_item -&gt; (address_item.`country` IS NULL OR (typeof(address_item.`country`) = 'string')))</t>
  </si>
  <si>
    <t>Data Files07102026.xlsx::Relationship!row 45 | Data Files07102026.xlsx::Relationship!row 54 | Data Files07102026.xlsx::Relationship!row 63 | Data Files07102026.xlsx::SmartDEV!row 44</t>
  </si>
  <si>
    <t>VAL-03016</t>
  </si>
  <si>
    <t>ERR-REL-03016</t>
  </si>
  <si>
    <t>VAL-02024</t>
  </si>
  <si>
    <t>ERR-REL-02024</t>
  </si>
  <si>
    <t>relatedPerson.addresses[].country must not exceed 2 characters.</t>
  </si>
  <si>
    <t>`relatedPerson.addresses[].country` IS NULL OR length(cast(`relatedPerson.addresses[].country` as string)) &lt;= 2 /* schema:unmapped, valid:no_match, datafiles:match, db:column_match */ | baseline: `relatedPerson`.`addresses` IS NULL OR forall(`relatedPerson`.`addresses`, address_item -&gt; (address_item.`country` IS NULL OR (length(address_item.`country`) &lt;= 2)))</t>
  </si>
  <si>
    <t>VAL-03017</t>
  </si>
  <si>
    <t>ERR-REL-03017</t>
  </si>
  <si>
    <t>VAL-02025</t>
  </si>
  <si>
    <t>ERR-REL-02025</t>
  </si>
  <si>
    <t>`relatedPerson.addresses[].country` IS NULL OR trim(cast(`relatedPerson.addresses[].country` as string)) &lt;&gt; '' /* schema:unmapped, valid:no_match, datafiles:match, db:column_match */</t>
  </si>
  <si>
    <t>VAL-02021</t>
  </si>
  <si>
    <t>ERR-REL-02021</t>
  </si>
  <si>
    <t>`relatedPerson.addresses[].county` IS NULL OR cast(`relatedPerson.addresses[].county` as decimal(38,10)) IS NOT NULL /* schema:unmapped, valid:no_match, datafiles:match, db:column_match */ | baseline: `relatedPerson`.`addresses` IS NULL OR forall(`relatedPerson`.`addresses`, address_item -&gt; (address_item.`county` IS NULL OR (typeof(address_item.`county`) = 'string')))</t>
  </si>
  <si>
    <t>Data Files07102026.xlsx::Relationship!row 44 | Data Files07102026.xlsx::Relationship!row 53 | Data Files07102026.xlsx::Relationship!row 62 | Data Files07102026.xlsx::SmartDEV!row 43</t>
  </si>
  <si>
    <t>VAL-02022</t>
  </si>
  <si>
    <t>ERR-REL-02022</t>
  </si>
  <si>
    <t>relatedPerson.addresses[].county must not exceed 4 characters.</t>
  </si>
  <si>
    <t>`relatedPerson.addresses[].county` IS NULL OR length(cast(`relatedPerson.addresses[].county` as string)) &lt;= 4 /* schema:unmapped, valid:no_match, datafiles:match, db:column_match */ | baseline: `relatedPerson`.`addresses` IS NULL OR forall(`relatedPerson`.`addresses`, address_item -&gt; (address_item.`county` IS NULL OR (length(address_item.`county`) &lt;= 4)))</t>
  </si>
  <si>
    <t>VAL-02018</t>
  </si>
  <si>
    <t>ERR-REL-02018</t>
  </si>
  <si>
    <t xml:space="preserve">`relatedPerson.addresses[].foreignAddressLine` IS NULL OR cast(`relatedPerson.addresses[].foreignAddressLine` as decimal(38,10)) IS NOT NULL /* schema:unmapped, valid:no_match, datafiles:match, db:column_match */ | baseline: `relatedPerson`.`addresses` IS NULL OR forall(`relatedPerson`.`addresses`, address_item -&gt; (address_item.`foreignAddressLine` IS NULL OR (typeof(address_item.`foreignAddressLine`) </t>
  </si>
  <si>
    <t>Applicable for foreign address when country code is other than USA</t>
  </si>
  <si>
    <t>Data Files07102026.xlsx::Relationship!row 43 | Data Files07102026.xlsx::Relationship!row 52 | Data Files07102026.xlsx::Relationship!row 61 | Data Files07102026.xlsx::SmartDEV!row 42</t>
  </si>
  <si>
    <t>VAL-02019</t>
  </si>
  <si>
    <t>ERR-REL-02019</t>
  </si>
  <si>
    <t>relatedPerson.addresses[].foreignAddressLine must not exceed 500 characters.</t>
  </si>
  <si>
    <t xml:space="preserve">`relatedPerson.addresses[].foreignAddressLine` IS NULL OR length(cast(`relatedPerson.addresses[].foreignAddressLine` as string)) &lt;= 500 /* schema:unmapped, valid:no_match, datafiles:match, db:column_match */ | baseline: `relatedPerson`.`addresses` IS NULL OR forall(`relatedPerson`.`addresses`, address_item -&gt; (address_item.`foreignAddressLine` IS NULL OR (length(address_item.`foreignAddressLine`) </t>
  </si>
  <si>
    <t>VAL-02020</t>
  </si>
  <si>
    <t>ERR-REL-02020</t>
  </si>
  <si>
    <t>`relatedPerson.addresses[].foreignAddressLine` IS NULL OR trim(cast(`relatedPerson.addresses[].foreignAddressLine` as string)) &lt;&gt; '' /* schema:unmapped, valid:no_match, datafiles:match, db:column_match */</t>
  </si>
  <si>
    <t>VAL-00048</t>
  </si>
  <si>
    <t>ERR-REL-00048</t>
  </si>
  <si>
    <t>relatedPerson.addresses[].state is required and must not be blank.</t>
  </si>
  <si>
    <t>`addresses` IS NULL OR forall(`addresses`, address_item -&gt; (address_item.`state` IS NOT NULL AND trim(address_item.`state`) &lt;&gt; ''))</t>
  </si>
  <si>
    <t>`relatedPerson.addresses[].state` IS NOT NULL AND trim(cast(`relatedPerson.addresses[].state` as string)) &lt;&gt; '' /* schema:unmapped, valid:no_match, datafiles:match, db:column_match */ | baseline: `relatedPerson`.`addresses` IS NULL OR forall(`relatedPerson`.`addresses`, address_item -&gt; (address_item.`state` IS NOT NULL AND trim(address_item.`state`) &lt;&gt; ''))</t>
  </si>
  <si>
    <t>VAL-02012</t>
  </si>
  <si>
    <t>ERR-REL-02012</t>
  </si>
  <si>
    <t>`relatedPerson.addresses[].state` IS NULL OR cast(`relatedPerson.addresses[].state` as decimal(38,10)) IS NOT NULL /* schema:unmapped, valid:no_match, datafiles:match, db:column_match */ | baseline: `relatedPerson`.`addresses` IS NULL OR forall(`relatedPerson`.`addresses`, address_item -&gt; (address_item.`state` IS NULL OR (typeof(address_item.`state`) = 'string')))</t>
  </si>
  <si>
    <t>Business unit</t>
  </si>
  <si>
    <t>Data Files07102026.xlsx::Relationship!row 41 | Data Files07102026.xlsx::Relationship!row 50 | Data Files07102026.xlsx::Relationship!row 59 | Data Files07102026.xlsx::SmartDEV!row 40</t>
  </si>
  <si>
    <t>VAL-03018</t>
  </si>
  <si>
    <t>ERR-REL-03018</t>
  </si>
  <si>
    <t>`relatedPerson.addresses[].state` IS NULL OR typeof(`relatedPerson.addresses[].state`) = 'string' /* schema:unmapped, valid:no_match, datafiles:match, db:column_match */ | baseline: `relatedPerson`.`addresses` IS NULL OR forall(`relatedPerson`.`addresses`, address_item -&gt; (address_item.`state` IS NULL OR (typeof(address_item.`state`) = 'string')))</t>
  </si>
  <si>
    <t>VAL-02013</t>
  </si>
  <si>
    <t>ERR-REL-02013</t>
  </si>
  <si>
    <t>relatedPerson.addresses[].state must not exceed 4 characters.</t>
  </si>
  <si>
    <t>`relatedPerson.addresses[].state` IS NULL OR length(cast(`relatedPerson.addresses[].state` as string)) &lt;= 4 /* schema:unmapped, valid:no_match, datafiles:match, db:column_match */ | baseline: `relatedPerson`.`addresses` IS NULL OR forall(`relatedPerson`.`addresses`, address_item -&gt; (address_item.`state` IS NULL OR (length(address_item.`state`) &lt;= 4)))</t>
  </si>
  <si>
    <t>VAL-03019</t>
  </si>
  <si>
    <t>ERR-REL-03019</t>
  </si>
  <si>
    <t>VAL-02014</t>
  </si>
  <si>
    <t>ERR-REL-02014</t>
  </si>
  <si>
    <t>`relatedPerson.addresses[].state` IS NULL OR upper(trim(cast(`relatedPerson.addresses[].state` as string))) IN ('MA') /* schema:unmapped, valid:no_match, datafiles:match, db:column_match */</t>
  </si>
  <si>
    <t>VAL-00046</t>
  </si>
  <si>
    <t>ERR-REL-00046</t>
  </si>
  <si>
    <t>relatedPerson.addresses[].streetAddress is required and must not be blank.</t>
  </si>
  <si>
    <t>`addresses` IS NULL OR forall(`addresses`, address_item -&gt; (address_item.`streetAddress` IS NOT NULL AND trim(address_item.`streetAddress`) &lt;&gt; ''))</t>
  </si>
  <si>
    <t>`relatedPerson.addresses[].streetAddress` IS NOT NULL AND trim(cast(`relatedPerson.addresses[].streetAddress` as string)) &lt;&gt; '' /* schema:unmapped, valid:no_match, datafiles:match, db:column_match */ | baseline: `relatedPerson`.`addresses` IS NULL OR forall(`relatedPerson`.`addresses`, address_item -&gt; (address_item.`streetAddress` IS NOT NULL AND trim(address_item.`streetAddress`) &lt;&gt; ''))</t>
  </si>
  <si>
    <t>VAL-02006</t>
  </si>
  <si>
    <t>ERR-REL-02006</t>
  </si>
  <si>
    <t>`relatedPerson.addresses[].streetAddress` IS NULL OR cast(`relatedPerson.addresses[].streetAddress` as decimal(38,10)) IS NOT NULL /* schema:unmapped, valid:no_match, datafiles:match, db:column_match */ | baseline: `relatedPerson`.`addresses` IS NULL OR forall(`relatedPerson`.`addresses`, address_item -&gt; (address_item.`streetAddress` IS NULL OR (typeof(address_item.`streetAddress`) = 'string'</t>
  </si>
  <si>
    <t>Address line 1</t>
  </si>
  <si>
    <t>Data Files07102026.xlsx::Relationship!row 38 | Data Files07102026.xlsx::Relationship!row 47 | Data Files07102026.xlsx::Relationship!row 56 | Data Files07102026.xlsx::SmartDEV!row 37</t>
  </si>
  <si>
    <t>VAL-03020</t>
  </si>
  <si>
    <t>ERR-REL-03020</t>
  </si>
  <si>
    <t>`relatedPerson.addresses[].streetAddress` IS NULL OR typeof(`relatedPerson.addresses[].streetAddress`) = 'string' /* schema:unmapped, valid:no_match, datafiles:match, db:column_match */ | baseline: `relatedPerson`.`addresses` IS NULL OR forall(`relatedPerson`.`addresses`, address_item -&gt; (address_item.`streetAddress` IS NULL OR (typeof(address_item.`streetAddress`) = 'string'</t>
  </si>
  <si>
    <t>VAL-02007</t>
  </si>
  <si>
    <t>ERR-REL-02007</t>
  </si>
  <si>
    <t>relatedPerson.addresses[].streetAddress must not exceed 200 characters.</t>
  </si>
  <si>
    <t>`relatedPerson.addresses[].streetAddress` IS NULL OR length(cast(`relatedPerson.addresses[].streetAddress` as string)) &lt;= 200 /* schema:unmapped, valid:no_match, datafiles:match, db:column_match */ | baseline: `relatedPerson`.`addresses` IS NULL OR forall(`relatedPerson`.`addresses`, address_item -&gt; (address_item.`streetAddress` IS NULL OR (length(address_item.`streetAddress`) &lt;= 200)))</t>
  </si>
  <si>
    <t>VAL-03021</t>
  </si>
  <si>
    <t>ERR-REL-03021</t>
  </si>
  <si>
    <t>VAL-00049</t>
  </si>
  <si>
    <t>ERR-REL-00049</t>
  </si>
  <si>
    <t>relatedPerson.addresses[].zipCode is required and must not be blank.</t>
  </si>
  <si>
    <t>`addresses` IS NULL OR forall(`addresses`, address_item -&gt; (address_item.`zipCode` IS NOT NULL AND trim(address_item.`zipCode`) &lt;&gt; ''))</t>
  </si>
  <si>
    <t>`relatedPerson.addresses[].zipCode` IS NOT NULL AND trim(cast(`relatedPerson.addresses[].zipCode` as string)) &lt;&gt; '' /* schema:unmapped, valid:no_match, datafiles:match, db:column_match */ | baseline: `relatedPerson`.`addresses` IS NULL OR forall(`relatedPerson`.`addresses`, address_item -&gt; (address_item.`zipCode` IS NOT NULL AND trim(address_item.`zipCode`) &lt;&gt; ''))</t>
  </si>
  <si>
    <t>VAL-02015</t>
  </si>
  <si>
    <t>ERR-REL-02015</t>
  </si>
  <si>
    <t>`relatedPerson.addresses[].zipCode` IS NULL OR cast(`relatedPerson.addresses[].zipCode` as decimal(38,10)) IS NOT NULL /* schema:unmapped, valid:no_match, datafiles:match, db:column_match */ | baseline: `relatedPerson`.`addresses` IS NULL OR forall(`relatedPerson`.`addresses`, address_item -&gt; (address_item.`zipCode` IS NULL OR (typeof(address_item.`zipCode`) = 'string')))</t>
  </si>
  <si>
    <t>Data Files07102026.xlsx::Relationship!row 42 | Data Files07102026.xlsx::Relationship!row 51 | Data Files07102026.xlsx::Relationship!row 60 | Data Files07102026.xlsx::SmartDEV!row 41</t>
  </si>
  <si>
    <t>VAL-03022</t>
  </si>
  <si>
    <t>ERR-REL-03022</t>
  </si>
  <si>
    <t>`relatedPerson.addresses[].zipCode` IS NULL OR typeof(`relatedPerson.addresses[].zipCode`) = 'string' /* schema:unmapped, valid:no_match, datafiles:match, db:column_match */ | baseline: `relatedPerson`.`addresses` IS NULL OR forall(`relatedPerson`.`addresses`, address_item -&gt; (address_item.`zipCode` IS NULL OR (typeof(address_item.`zipCode`) = 'string')))</t>
  </si>
  <si>
    <t>VAL-02016</t>
  </si>
  <si>
    <t>ERR-REL-02016</t>
  </si>
  <si>
    <t>relatedPerson.addresses[].zipCode must not exceed 10 characters.</t>
  </si>
  <si>
    <t>`relatedPerson.addresses[].zipCode` IS NULL OR length(cast(`relatedPerson.addresses[].zipCode` as string)) &lt;= 10 /* schema:unmapped, valid:no_match, datafiles:match, db:column_match */ | baseline: `relatedPerson`.`addresses` IS NULL OR forall(`relatedPerson`.`addresses`, address_item -&gt; (address_item.`zipCode` IS NULL OR (length(address_item.`zipCode`) &lt;= 10)))</t>
  </si>
  <si>
    <t>VAL-03023</t>
  </si>
  <si>
    <t>ERR-REL-03023</t>
  </si>
  <si>
    <t>VAL-02017</t>
  </si>
  <si>
    <t>ERR-REL-02017</t>
  </si>
  <si>
    <t>`relatedPerson.addresses[].zipCode` IS NULL OR upper(trim(cast(`relatedPerson.addresses[].zipCode` as string))) IN ('02156') /* schema:unmapped, valid:no_match, datafiles:match, db:column_match */</t>
  </si>
  <si>
    <t>VAL-00043</t>
  </si>
  <si>
    <t>ERR-REL-00043</t>
  </si>
  <si>
    <t>relatedPerson.dateOfBirth is required and must not be blank.</t>
  </si>
  <si>
    <t>`relatedPerson.dateOfBirth` IS NOT NULL AND trim(cast(`relatedPerson.dateOfBirth` as string)) &lt;&gt; '' /* schema:unmapped, valid:no_match, datafiles:match, db:column_match */ | baseline: `relatedPerson`.`dateOfBirth` IS NOT NULL AND trim(`relatedPerson`.`dateOfBirth`) &lt;&gt; ''</t>
  </si>
  <si>
    <t>VAL-01976</t>
  </si>
  <si>
    <t>ERR-REL-01976</t>
  </si>
  <si>
    <t>dateOfBirth must have datatype date_iso.</t>
  </si>
  <si>
    <t>`relatedPerson.dateOfBirth` IS NULL OR to_date(cast(`relatedPerson.dateOfBirth` as string), 'yyyy-MM-dd') IS NOT NULL /* schema:unmapped, valid:no_match, datafiles:match, db:column_match */ | baseline: `relatedPerson`.`dateOfBirth` IS NULL OR (typeof(`relatedPerson`.`dateOfBirth`) = 'string')</t>
  </si>
  <si>
    <t>Represents the NonEmployee person’s date of birth. | Canonicalized from an implemented composite structural rule.</t>
  </si>
  <si>
    <t>Data Files07102026.xlsx::Relationship!row 27 | Data Files07102026.xlsx::SmartDEV!row 30 | structural_rules.yaml via Current L1 Config</t>
  </si>
  <si>
    <t>VAL-01977</t>
  </si>
  <si>
    <t>ERR-REL-01977</t>
  </si>
  <si>
    <t>`dateOfBirth` IS NULL OR (length(`dateOfBirth`) &lt;= 10)</t>
  </si>
  <si>
    <t>`relatedPerson.dateOfBirth` IS NULL OR length(cast(`relatedPerson.dateOfBirth` as string)) &lt;= 10 /* schema:unmapped, valid:no_match, datafiles:match, db:column_match */ | baseline: `relatedPerson`.`dateOfBirth` IS NULL OR (length(`relatedPerson`.`dateOfBirth`) &lt;= 10)</t>
  </si>
  <si>
    <t>Represents the NonEmployee person’s date of birth.</t>
  </si>
  <si>
    <t>Data Files07102026.xlsx::Relationship!row 27 | Data Files07102026.xlsx::SmartDEV!row 30</t>
  </si>
  <si>
    <t>VAL-01978</t>
  </si>
  <si>
    <t>ERR-REL-01978</t>
  </si>
  <si>
    <t>relatedPerson.dateOfBirth must be a valid calendar date in yyyy-MM-dd format.</t>
  </si>
  <si>
    <t>`relatedPerson.dateOfBirth` IS NULL OR to_date(cast(`relatedPerson.dateOfBirth` as string), 'yyyy-MM-dd') IS NOT NULL /* schema:unmapped, valid:no_match, datafiles:match, db:column_match */ | baseline: `relatedPerson`.`dateOfBirth` IS NULL OR (`relatedPerson`.`dateOfBirth` RLIKE '^[0-9]{4}-(0[1-9]|1[0-2])-(0[1-9]|[12][0-9]|3[01])$' AND to_date(`relatedPerson`.`dateOfBirth`, 'yyyy</t>
  </si>
  <si>
    <t>VAL-01979</t>
  </si>
  <si>
    <t>ERR-REL-01979</t>
  </si>
  <si>
    <t>`relatedPerson.dateOfDeath` IS NULL OR to_date(cast(`relatedPerson.dateOfDeath` as string), 'MM/dd/yyyy') IS NOT NULL /* schema:unmapped, valid:no_match, datafiles:match, db:column_match */ | baseline: `relatedPerson`.`dateOfDeath` IS NULL OR (typeof(`relatedPerson`.`dateOfDeath`) = 'string')</t>
  </si>
  <si>
    <t>Represents the NonEmployee person’s date of death.</t>
  </si>
  <si>
    <t>Data Files07102026.xlsx::Relationship!row 28</t>
  </si>
  <si>
    <t>VAL-01980</t>
  </si>
  <si>
    <t>ERR-REL-01980</t>
  </si>
  <si>
    <t>`dateOfDeath` IS NULL OR (length(`dateOfDeath`) &lt;= 10)</t>
  </si>
  <si>
    <t>`relatedPerson.dateOfDeath` IS NULL OR length(cast(`relatedPerson.dateOfDeath` as string)) &lt;= 10 /* schema:unmapped, valid:no_match, datafiles:match, db:column_match */ | baseline: `relatedPerson`.`dateOfDeath` IS NULL OR (length(`relatedPerson`.`dateOfDeath`) &lt;= 10)</t>
  </si>
  <si>
    <t>VAL-01981</t>
  </si>
  <si>
    <t>ERR-REL-01981</t>
  </si>
  <si>
    <t>relatedPerson.dateOfDeath must be a valid calendar date in yyyy-MM-dd format.</t>
  </si>
  <si>
    <t>`relatedPerson.dateOfDeath` IS NULL OR to_date(cast(`relatedPerson.dateOfDeath` as string), 'yyyy-MM-dd') IS NOT NULL /* schema:unmapped, valid:no_match, datafiles:match, db:column_match */ | baseline: `relatedPerson`.`dateOfDeath` IS NULL OR (`relatedPerson`.`dateOfDeath` RLIKE '^[0-9]{4}-(0[1-9]|1[0-2])-(0[1-9]|[12][0-9]|3[01])$' AND to_date(`relatedPerson`.`dateOfDeath`, 'yyyy</t>
  </si>
  <si>
    <t>VAL-00052</t>
  </si>
  <si>
    <t>ERR-REL-00052</t>
  </si>
  <si>
    <t>relatedPerson.emails[].email is required and must not be blank.</t>
  </si>
  <si>
    <t>`emails` IS NULL OR forall(`emails`, email_item -&gt; (email_item.`email` IS NOT NULL AND trim(email_item.`email`) &lt;&gt; ''))</t>
  </si>
  <si>
    <t>`relatedPerson.emails[].email` IS NOT NULL AND trim(cast(`relatedPerson.emails[].email` as string)) &lt;&gt; '' /* schema:unmapped, valid:no_match, datafiles:match, db:check_mapping */ | baseline: `relatedPerson`.`emails` IS NULL OR forall(`relatedPerson`.`emails`, email_item -&gt; (email_item.`email` IS NOT NULL AND trim(email_item.`email`) &lt;&gt; ''))</t>
  </si>
  <si>
    <t>VAL-02075</t>
  </si>
  <si>
    <t>ERR-REL-02075</t>
  </si>
  <si>
    <t>`relatedPerson.emails[].email` IS NULL OR typeof(`relatedPerson.emails[].email`) = 'string' /* schema:unmapped, valid:no_match, datafiles:match, db:check_mapping */ | baseline: `relatedPerson`.`emails` IS NULL OR forall(`relatedPerson`.`emails`, email_item -&gt; (email_item.`email` IS NULL OR (typeof(email_item.`email`) = 'string')))</t>
  </si>
  <si>
    <t>Data Files07102026.xlsx::Relationship!row 65 | Data Files07102026.xlsx::Relationship!row 68 | Data Files07102026.xlsx::Relationship!row 71</t>
  </si>
  <si>
    <t>VAL-03024</t>
  </si>
  <si>
    <t>ERR-REL-03024</t>
  </si>
  <si>
    <t>VAL-02076</t>
  </si>
  <si>
    <t>ERR-REL-02076</t>
  </si>
  <si>
    <t>relatedPerson.emails[].email must not exceed 254 characters.</t>
  </si>
  <si>
    <t>`relatedPerson.emails[].email` IS NULL OR length(cast(`relatedPerson.emails[].email` as string)) &lt;= 254 /* schema:unmapped, valid:no_match, datafiles:match, db:check_mapping */ | baseline: `relatedPerson`.`emails` IS NULL OR forall(`relatedPerson`.`emails`, email_item -&gt; (email_item.`email` IS NULL OR (length(email_item.`email`) &lt;= 254)))</t>
  </si>
  <si>
    <t>VAL-03025</t>
  </si>
  <si>
    <t>ERR-REL-03025</t>
  </si>
  <si>
    <t>VAL-00051</t>
  </si>
  <si>
    <t>ERR-REL-00051</t>
  </si>
  <si>
    <t>relatedPerson.emails[].emailType is required and must not be blank.</t>
  </si>
  <si>
    <t>`emails` IS NULL OR forall(`emails`, email_item -&gt; (email_item.`emailType` IS NOT NULL AND trim(email_item.`emailType`) &lt;&gt; ''))</t>
  </si>
  <si>
    <t>`relatedPerson.emails[].emailType` IS NOT NULL AND trim(cast(`relatedPerson.emails[].emailType` as string)) &lt;&gt; '' /* schema:unmapped, valid:no_match, datafiles:match, db:column_match */ | baseline: `relatedPerson`.`emails` IS NULL OR forall(`relatedPerson`.`emails`, email_item -&gt; (email_item.`emailType` IS NOT NULL AND trim(email_item.`emailType`) &lt;&gt; ''))</t>
  </si>
  <si>
    <t>Resolved DDL gap — emailType now written to hbe.person_email.email_type_cd | Canonicalized from an implemented composite structural rule.</t>
  </si>
  <si>
    <t>VAL-02072</t>
  </si>
  <si>
    <t>ERR-REL-02072</t>
  </si>
  <si>
    <t>`relatedPerson.emails[].emailType` IS NULL OR typeof(`relatedPerson.emails[].emailType`) = 'string' /* schema:unmapped, valid:no_match, datafiles:match, db:column_match */ | baseline: `relatedPerson`.`emails` IS NULL OR forall(`relatedPerson`.`emails`, email_item -&gt; (email_item.`emailType` IS NULL OR (typeof(email_item.`emailType`) = 'string')))</t>
  </si>
  <si>
    <t>Data Files07102026.xlsx::Relationship!row 64 | Data Files07102026.xlsx::Relationship!row 67 | Data Files07102026.xlsx::Relationship!row 70</t>
  </si>
  <si>
    <t>VAL-03026</t>
  </si>
  <si>
    <t>ERR-REL-03026</t>
  </si>
  <si>
    <t>VAL-02073</t>
  </si>
  <si>
    <t>ERR-REL-02073</t>
  </si>
  <si>
    <t>`emails` IS NULL OR forall(`emails`, email_item -&gt; (email_item.`emailType` IS NULL OR (length(email_item.`emailType`) &lt;= 1)))</t>
  </si>
  <si>
    <t>`relatedPerson.emails[].emailType` IS NULL OR length(cast(`relatedPerson.emails[].emailType` as string)) &lt;= 1 /* schema:unmapped, valid:no_match, datafiles:match, db:column_match */ | baseline: `relatedPerson`.`emails` IS NULL OR forall(`relatedPerson`.`emails`, email_item -&gt; (email_item.`emailType` IS NULL OR (length(email_item.`emailType`) &lt;= 1)))</t>
  </si>
  <si>
    <t>VAL-02074</t>
  </si>
  <si>
    <t>ERR-REL-02074</t>
  </si>
  <si>
    <t>relatedPerson.emails[].emailType must be one of: W, P, A.</t>
  </si>
  <si>
    <t>`relatedPerson.emails[].emailType` IS NULL OR upper(trim(cast(`relatedPerson.emails[].emailType` as string))) IN ('W', 'P', 'A') /* schema:unmapped, valid:no_match, datafiles:match, db:column_match */ | baseline: `relatedPerson`.`emails` IS NULL OR forall(`relatedPerson`.`emails`, email_item -&gt; (email_item.`emailType` IS NULL OR (upper(trim(email_item.`emailType`)) IN ('W', 'P', 'A'))))</t>
  </si>
  <si>
    <t>VAL-03027</t>
  </si>
  <si>
    <t>ERR-REL-03027</t>
  </si>
  <si>
    <t>VAL-00042</t>
  </si>
  <si>
    <t>ERR-REL-00042</t>
  </si>
  <si>
    <t>relatedPerson.firstName is required and must not be blank.</t>
  </si>
  <si>
    <t>`relatedPerson.firstName` IS NOT NULL AND trim(cast(`relatedPerson.firstName` as string)) &lt;&gt; '' /* schema:unmapped, valid:no_match, datafiles:match, db:column_match */ | baseline: `relatedPerson`.`firstName` IS NOT NULL AND trim(`relatedPerson`.`firstName`) &lt;&gt; ''</t>
  </si>
  <si>
    <t>1-50 characters</t>
  </si>
  <si>
    <t>VAL-01973</t>
  </si>
  <si>
    <t>ERR-REL-01973</t>
  </si>
  <si>
    <t>`relatedPerson.firstName` IS NULL OR typeof(`relatedPerson.firstName`) = 'string' /* schema:unmapped, valid:no_match, datafiles:match, db:column_match */ | baseline: `relatedPerson`.`firstName` IS NULL OR (typeof(`relatedPerson`.`firstName`) = 'string')</t>
  </si>
  <si>
    <t>Person's first name; Must reflect the non-employee’s legal name. | Canonicalized from an implemented composite structural rule.</t>
  </si>
  <si>
    <t>Data Files07102026.xlsx::Relationship!row 26 | Data Files07102026.xlsx::SmartDEV!row 29 | structural_rules.yaml via Current L1 Config</t>
  </si>
  <si>
    <t>VAL-01974</t>
  </si>
  <si>
    <t>ERR-REL-01974</t>
  </si>
  <si>
    <t>relatedPerson.firstName must not exceed 50 characters.</t>
  </si>
  <si>
    <t>`firstName` IS NULL OR (length(`firstName`) &lt;= 50)</t>
  </si>
  <si>
    <t>`relatedPerson.firstName` IS NULL OR length(cast(`relatedPerson.firstName` as string)) &lt;= 1 /* schema:unmapped, valid:no_match, datafiles:match, db:column_match */ | baseline: `relatedPerson`.`firstName` IS NULL OR (length(`relatedPerson`.`firstName`) &lt;= 50)</t>
  </si>
  <si>
    <t>VAL-01986</t>
  </si>
  <si>
    <t>ERR-REL-01986</t>
  </si>
  <si>
    <t>`relatedPerson.gender` IS NULL OR typeof(`relatedPerson.gender`) = 'string' /* schema:unmapped, valid:no_match, datafiles:match, db:column_match */ | baseline: `relatedPerson`.`gender` IS NULL OR (typeof(`relatedPerson`.`gender`) = 'string')</t>
  </si>
  <si>
    <t>Represents the person’s gender; The gender of the non-employee (used for actuarial valuations).</t>
  </si>
  <si>
    <t>Data Files07102026.xlsx::Relationship!row 30</t>
  </si>
  <si>
    <t>VAL-01987</t>
  </si>
  <si>
    <t>ERR-REL-01987</t>
  </si>
  <si>
    <t>`gender` IS NULL OR (length(`gender`) &lt;= 1)</t>
  </si>
  <si>
    <t>`relatedPerson.gender` IS NULL OR length(cast(`relatedPerson.gender` as string)) &lt;= 1 /* schema:unmapped, valid:no_match, datafiles:match, db:column_match */ | baseline: `relatedPerson`.`gender` IS NULL OR (length(`relatedPerson`.`gender`) &lt;= 1)</t>
  </si>
  <si>
    <t>VAL-00041</t>
  </si>
  <si>
    <t>ERR-REL-00041</t>
  </si>
  <si>
    <t>relatedPerson.lastName is required and must not be blank.</t>
  </si>
  <si>
    <t>`relatedPerson.lastName` IS NOT NULL AND trim(cast(`relatedPerson.lastName` as string)) &lt;&gt; '' /* schema:unmapped, valid:no_match, datafiles:match, db:column_match */ | baseline: `relatedPerson`.`lastName` IS NOT NULL AND trim(`relatedPerson`.`lastName`) &lt;&gt; ''</t>
  </si>
  <si>
    <t>VAL-01970</t>
  </si>
  <si>
    <t>ERR-REL-01970</t>
  </si>
  <si>
    <t>`lastName` IS NULL OR (typeof(`lastName`) = 'string')</t>
  </si>
  <si>
    <t>`relatedPerson.lastName` IS NULL OR typeof(`relatedPerson.lastName`) = 'string' /* schema:unmapped, valid:no_match, datafiles:match, db:column_match */ | baseline: `relatedPerson`.`lastName` IS NULL OR (typeof(`relatedPerson`.`lastName`) = 'string')</t>
  </si>
  <si>
    <t>Person's last name; Must reflect the non-employee’s legal name. | Canonicalized from an implemented composite structural rule.</t>
  </si>
  <si>
    <t>Data Files07102026.xlsx::Relationship!row 25 | Data Files07102026.xlsx::SmartDEV!row 28 | structural_rules.yaml via Current L1 Config</t>
  </si>
  <si>
    <t>VAL-01971</t>
  </si>
  <si>
    <t>ERR-REL-01971</t>
  </si>
  <si>
    <t>relatedPerson.lastName must not exceed 100 characters.</t>
  </si>
  <si>
    <t>`lastName` IS NULL OR (length(`lastName`) &lt;= 100)</t>
  </si>
  <si>
    <t>`relatedPerson.lastName` IS NULL OR length(cast(`relatedPerson.lastName` as string)) &lt;= 1 /* schema:unmapped, valid:no_match, datafiles:match, db:column_match */ | baseline: `relatedPerson`.`lastName` IS NULL OR (length(`relatedPerson`.`lastName`) &lt;= 100)</t>
  </si>
  <si>
    <t>VAL-00039</t>
  </si>
  <si>
    <t>ERR-REL-00039</t>
  </si>
  <si>
    <t>nonEmployeeTaxIdNumber</t>
  </si>
  <si>
    <t>relatedPerson.nonEmployeeTaxIdNumber is required and must not be blank.</t>
  </si>
  <si>
    <t>`nonEmployeeTaxIdNumber` IS NOT NULL AND trim(`nonEmployeeTaxIdNumber`) &lt;&gt; ''</t>
  </si>
  <si>
    <t>`relatedPerson.nonEmployeeTaxIdNumber` IS NOT NULL AND trim(cast(`relatedPerson.nonEmployeeTaxIdNumber` as string)) &lt;&gt; '' /* schema:unmapped, valid:no_match, datafiles:match, db:column_match */ | baseline: `relatedPerson`.`nonEmployeeTaxIdNumber` IS NOT NULL AND trim(`relatedPerson`.`nonEmployeeTaxIdNumber`) &lt;&gt; ''</t>
  </si>
  <si>
    <t>VAL-01960</t>
  </si>
  <si>
    <t>ERR-REL-01960</t>
  </si>
  <si>
    <t>nonEmployeeTaxIdNumber must have datatype string.</t>
  </si>
  <si>
    <t>`nonEmployeeTaxIdNumber` IS NULL OR (typeof(`nonEmployeeTaxIdNumber`) = 'string')</t>
  </si>
  <si>
    <t>`relatedPerson.nonEmployeeTaxIdNumber` IS NULL OR cast(`relatedPerson.nonEmployeeTaxIdNumber` as decimal(38,10)) IS NOT NULL /* schema:unmapped, valid:no_match, datafiles:match, db:column_match */ | baseline: `relatedPerson`.`nonEmployeeTaxIdNumber` IS NULL OR (typeof(`relatedPerson`.`nonEmployeeTaxIdNumber`) = 'string')</t>
  </si>
  <si>
    <t>NonEmployee 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 | Canonicalized from an implemented composite structural rule.</t>
  </si>
  <si>
    <t>Data Files07102026.xlsx::Relationship!row 22 | Data Files07102026.xlsx::SmartDEV!row 25 | structural_rules.yaml via Current L1 Config</t>
  </si>
  <si>
    <t>VAL-01961</t>
  </si>
  <si>
    <t>ERR-REL-01961</t>
  </si>
  <si>
    <t>relatedPerson.nonEmployeeTaxIdNumber must not exceed 256 characters.</t>
  </si>
  <si>
    <t>`nonEmployeeTaxIdNumber` IS NULL OR (length(`nonEmployeeTaxIdNumber`) &lt;= 256)</t>
  </si>
  <si>
    <t>`relatedPerson.nonEmployeeTaxIdNumber` IS NULL OR length(cast(`relatedPerson.nonEmployeeTaxIdNumber` as string)) &lt;= 9 /* schema:unmapped, valid:no_match, datafiles:match, db:column_match */ | baseline: `relatedPerson`.`nonEmployeeTaxIdNumber` IS NULL OR (length(`relatedPerson`.`nonEmployeeTaxIdNumber`) &lt;= 256)</t>
  </si>
  <si>
    <t>VAL-01962</t>
  </si>
  <si>
    <t>ERR-REL-01962</t>
  </si>
  <si>
    <t>`nonEmployeeTaxIdNumber` IS NULL OR (`nonEmployeeTaxIdNumber` RLIKE '^([0-9]{9}|[A-Za-z0-9+/=_:-]{32,256})$')</t>
  </si>
  <si>
    <t>`relatedPerson.nonEmployeeTaxIdNumber` IS NULL OR upper(trim(cast(`relatedPerson.nonEmployeeTaxIdNumber` as string))) IN ('XXX-XX-1234') /* schema:unmapped, valid:no_match, datafiles:match, db:column_match */ | baseline: `relatedPerson`.`nonEmployeeTaxIdNumber` IS NULL OR (`relatedPerson`.`nonEmployeeTaxIdNumber` RLIKE '^([0-9]{9}|[A-Za-z0-9+/=_:-]{32,256})$')</t>
  </si>
  <si>
    <t>NonEmployee 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</si>
  <si>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Data Files07102026.xlsx::Relationship!row 22 | Data Files07102026.xlsx::SmartDEV!row 25</t>
  </si>
  <si>
    <t>VAL-00040</t>
  </si>
  <si>
    <t>ERR-REL-00040</t>
  </si>
  <si>
    <t>nonEmployeeTaxIdType</t>
  </si>
  <si>
    <t>relatedPerson.nonEmployeeTaxIdType is required and must not be blank.</t>
  </si>
  <si>
    <t>`nonEmployeeTaxIdType` IS NOT NULL AND trim(`nonEmployeeTaxIdType`) &lt;&gt; ''</t>
  </si>
  <si>
    <t>`relatedPerson.nonEmployeeTaxIdType` IS NOT NULL AND trim(cast(`relatedPerson.nonEmployeeTaxIdType` as string)) &lt;&gt; '' /* schema:unmapped, valid:no_match, datafiles:match, db:check_mapping */ | baseline: `relatedPerson`.`nonEmployeeTaxIdType` IS NOT NULL AND trim(`relatedPerson`.`nonEmployeeTaxIdType`) &lt;&gt; ''</t>
  </si>
  <si>
    <t>VAL-01964</t>
  </si>
  <si>
    <t>ERR-REL-01964</t>
  </si>
  <si>
    <t>nonEmployeeTaxIdType must have datatype string.</t>
  </si>
  <si>
    <t>`nonEmployeeTaxIdType` IS NULL OR (typeof(`nonEmployeeTaxIdType`) = 'string')</t>
  </si>
  <si>
    <t>`relatedPerson.nonEmployeeTaxIdType` IS NULL OR typeof(`relatedPerson.nonEmployeeTaxIdType`) = 'string' /* schema:unmapped, valid:no_match, datafiles:match, db:check_mapping */ | baseline: `relatedPerson`.`nonEmployeeTaxIdType` IS NULL OR (typeof(`relatedPerson`.`nonEmployeeTaxIdType`) = 'string')</t>
  </si>
  <si>
    <t>This could be SSN or ITIN depending on the invidual's citizenship status. | Canonicalized from an implemented composite structural rule.</t>
  </si>
  <si>
    <t>Data Files07102026.xlsx::Relationship!row 23 | Data Files07102026.xlsx::SmartDEV!row 26 | structural_rules.yaml via Current L1 Config</t>
  </si>
  <si>
    <t>VAL-01965</t>
  </si>
  <si>
    <t>ERR-REL-01965</t>
  </si>
  <si>
    <t>`nonEmployeeTaxIdType` IS NULL OR (length(`nonEmployeeTaxIdType`) &lt;= 4)</t>
  </si>
  <si>
    <t>`relatedPerson.nonEmployeeTaxIdType` IS NULL OR length(cast(`relatedPerson.nonEmployeeTaxIdType` as string)) &lt;= 4 /* schema:unmapped, valid:no_match, datafiles:match, db:check_mapping */ | baseline: `relatedPerson`.`nonEmployeeTaxIdType` IS NULL OR (length(`relatedPerson`.`nonEmployeeTaxIdType`) &lt;= 4)</t>
  </si>
  <si>
    <t>This could be SSN or ITIN depending on the invidual's citizenship status.</t>
  </si>
  <si>
    <t>Data Files07102026.xlsx::Relationship!row 23 | Data Files07102026.xlsx::SmartDEV!row 26</t>
  </si>
  <si>
    <t>VAL-01966</t>
  </si>
  <si>
    <t>ERR-REL-01966</t>
  </si>
  <si>
    <t>relatedPerson.nonEmployeeTaxIdType must be one of: SSN, ITIN.</t>
  </si>
  <si>
    <t>`nonEmployeeTaxIdType` IS NULL OR (upper(trim(`nonEmployeeTaxIdType`)) IN ('SSN', 'ITIN'))</t>
  </si>
  <si>
    <t>`relatedPerson.nonEmployeeTaxIdType` IS NULL OR upper(trim(cast(`relatedPerson.nonEmployeeTaxIdType` as string))) IN ('SSN', 'ITIN') /* schema:unmapped, valid:no_match, datafiles:match, db:check_mapping */ | baseline: `relatedPerson`.`nonEmployeeTaxIdType` IS NULL OR (upper(trim(`relatedPerson`.`nonEmployeeTaxIdType`)) IN ('SSN', 'ITIN'))</t>
  </si>
  <si>
    <t>VAL-01967</t>
  </si>
  <si>
    <t>ERR-REL-01967</t>
  </si>
  <si>
    <t>nonEmployeeUsCitizen</t>
  </si>
  <si>
    <t>`nonEmployeeUsCitizen` IS NULL OR (typeof(`nonEmployeeUsCitizen`) = 'boolean')</t>
  </si>
  <si>
    <t>`relatedPerson.nonEmployeeUsCitizen` IS NULL OR upper(trim(cast(`relatedPerson.nonEmployeeUsCitizen` as string))) IN ('Y','N','TRUE','FALSE','1','0') /* schema:unmapped, valid:no_match, datafiles:match, db:check_mapping */ | baseline: `relatedPerson`.`nonEmployeeUsCitizen` IS NULL OR (typeof(`relatedPerson`.`nonEmployeeUsCitizen`) = 'boolean')</t>
  </si>
  <si>
    <t>This indicates if an individual is US citizen or not.</t>
  </si>
  <si>
    <t>Data Files07102026.xlsx::Relationship!row 24 | Data Files07102026.xlsx::SmartDEV!row 27</t>
  </si>
  <si>
    <t>VAL-01968</t>
  </si>
  <si>
    <t>ERR-REL-01968</t>
  </si>
  <si>
    <t>`relatedPerson.nonEmployeeUsCitizen` IS NULL OR length(cast(`relatedPerson.nonEmployeeUsCitizen` as string)) &lt;= 1 /* schema:unmapped, valid:no_match, datafiles:match, db:check_mapping */</t>
  </si>
  <si>
    <t>Source data represents citizenship as a one-character Y/N indicator, while the Relationship contract defines it as Boolean;</t>
  </si>
  <si>
    <t>VAL-00044</t>
  </si>
  <si>
    <t>ERR-REL-00044</t>
  </si>
  <si>
    <t>relatedPerson.personType is required and must not be blank.</t>
  </si>
  <si>
    <t>`relatedPerson.personType` IS NOT NULL AND trim(cast(`relatedPerson.personType` as string)) &lt;&gt; '' /* schema:unmapped, valid:no_match, datafiles:match, db:check_mapping */ | baseline: `relatedPerson`.`personType` IS NOT NULL AND trim(`relatedPerson`.`personType`) &lt;&gt; ''</t>
  </si>
  <si>
    <t>NONEMPLOYEE</t>
  </si>
  <si>
    <t>VAL-01983</t>
  </si>
  <si>
    <t>ERR-REL-01983</t>
  </si>
  <si>
    <t>`personType` IS NULL OR (typeof(`personType`) = 'string')</t>
  </si>
  <si>
    <t>`relatedPerson.personType` IS NULL OR typeof(`relatedPerson.personType`) = 'string' /* schema:unmapped, valid:no_match, datafiles:match, db:check_mapping */ | baseline: `relatedPerson`.`personType` IS NULL OR (typeof(`relatedPerson`.`personType`) = 'string')</t>
  </si>
  <si>
    <t>Represents the type of person; For non-employee person, this is always 'NONEMPLOYEE' regardless of whether the person is a beneficiary or dependent or both. | Canonicalized from an implemented composite structural rule.</t>
  </si>
  <si>
    <t>Data Files07102026.xlsx::Relationship!row 29 | Data Files07102026.xlsx::SmartDEV!row 31 | structural_rules.yaml via Current L1 Config</t>
  </si>
  <si>
    <t>VAL-01984</t>
  </si>
  <si>
    <t>ERR-REL-01984</t>
  </si>
  <si>
    <t>`relatedPerson.personType` IS NULL OR length(cast(`relatedPerson.personType` as string)) &lt;= 11 /* schema:unmapped, valid:no_match, datafiles:match, db:check_mapping */ | baseline: `relatedPerson`.`personType` IS NULL OR (length(`relatedPerson`.`personType`) &lt;= 11)</t>
  </si>
  <si>
    <t>Represents the type of person; For non-employee person, this is always 'NONEMPLOYEE' regardless of whether the person is a beneficiary or dependent or both.</t>
  </si>
  <si>
    <t>Data Files07102026.xlsx::Relationship!row 29 | Data Files07102026.xlsx::SmartDEV!row 31</t>
  </si>
  <si>
    <t>VAL-01985</t>
  </si>
  <si>
    <t>ERR-REL-01985</t>
  </si>
  <si>
    <t>personType must be one of NONEMPLOYEE, EMPLOYEE.</t>
  </si>
  <si>
    <t>`personType` IS NULL OR (`personType` = 'NONEMPLOYEE')</t>
  </si>
  <si>
    <t>`relatedPerson.personType` IS NULL OR upper(trim(cast(`relatedPerson.personType` as string))) IN ('NONEMPLOYEE') /* schema:unmapped, valid:no_match, datafiles:match, db:check_mapping */ | baseline: `relatedPerson`.`personType` IS NULL OR (`relatedPerson`.`personType` = 'NONEMPLOYEE')</t>
  </si>
  <si>
    <t>VAL-02096</t>
  </si>
  <si>
    <t>ERR-REL-02096</t>
  </si>
  <si>
    <t>`relatedPerson.phones[].countryCode` IS NULL OR cast(`relatedPerson.phones[].countryCode` as decimal(38,10)) IS NOT NULL /* schema:unmapped, valid:no_match, datafiles:match, db:column_match */ | baseline: `relatedPerson`.`phones` IS NULL OR forall(`relatedPerson`.`phones`, phone_item -&gt; (phone_item.`countryCode` IS NULL OR (typeof(phone_item.`countryCode`) = 'string')))</t>
  </si>
  <si>
    <t>Data Files07102026.xlsx::Relationship!row 74 | Data Files07102026.xlsx::Relationship!row 78 | Data Files07102026.xlsx::Relationship!row 82</t>
  </si>
  <si>
    <t>VAL-02097</t>
  </si>
  <si>
    <t>ERR-REL-02097</t>
  </si>
  <si>
    <t>relatedPerson.phones[].countryCode must not exceed 6 characters.</t>
  </si>
  <si>
    <t>`relatedPerson.phones[].countryCode` IS NULL OR length(cast(`relatedPerson.phones[].countryCode` as string)) &lt;= 6 /* schema:unmapped, valid:no_match, datafiles:match, db:column_match */ | baseline: `relatedPerson`.`phones` IS NULL OR forall(`relatedPerson`.`phones`, phone_item -&gt; (phone_item.`countryCode` IS NULL OR (length(phone_item.`countryCode`) &lt;= 6)))</t>
  </si>
  <si>
    <t>VAL-02098</t>
  </si>
  <si>
    <t>ERR-REL-02098</t>
  </si>
  <si>
    <t>`relatedPerson.phones[].countryCode` IS NULL OR upper(trim(cast(`relatedPerson.phones[].countryCode` as string))) IN ('+1') /* schema:unmapped, valid:no_match, datafiles:match, db:column_match */</t>
  </si>
  <si>
    <t>VAL-02099</t>
  </si>
  <si>
    <t>ERR-REL-02099</t>
  </si>
  <si>
    <t>`relatedPerson.phones[].phoneNumber` IS NULL OR cast(`relatedPerson.phones[].phoneNumber` as decimal(38,10)) IS NOT NULL /* schema:unmapped, valid:no_match, datafiles:match, db:column_match */ | baseline: `relatedPerson`.`phones` IS NULL OR forall(`relatedPerson`.`phones`, phone_item -&gt; (phone_item.`phoneNumber` IS NULL OR (typeof(phone_item.`phoneNumber`) = 'string')))</t>
  </si>
  <si>
    <t>Data Files07102026.xlsx::Relationship!row 75 | Data Files07102026.xlsx::Relationship!row 79 | Data Files07102026.xlsx::Relationship!row 83</t>
  </si>
  <si>
    <t>VAL-02100</t>
  </si>
  <si>
    <t>ERR-REL-02100</t>
  </si>
  <si>
    <t>relatedPerson.phones[].phoneNumber must not exceed 15 characters.</t>
  </si>
  <si>
    <t>`relatedPerson.phones[].phoneNumber` IS NULL OR length(cast(`relatedPerson.phones[].phoneNumber` as string)) &lt;= 15 /* schema:unmapped, valid:no_match, datafiles:match, db:column_match */ | baseline: `relatedPerson`.`phones` IS NULL OR forall(`relatedPerson`.`phones`, phone_item -&gt; (phone_item.`phoneNumber` IS NULL OR (length(phone_item.`phoneNumber`) &lt;= 15)))</t>
  </si>
  <si>
    <t>VAL-02093</t>
  </si>
  <si>
    <t>ERR-REL-02093</t>
  </si>
  <si>
    <t>`relatedPerson.phones[].phoneType` IS NULL OR typeof(`relatedPerson.phones[].phoneType`) = 'string' /* schema:unmapped, valid:no_match, datafiles:match, db:check_mapping */ | baseline: `relatedPerson`.`phones` IS NULL OR forall(`relatedPerson`.`phones`, phone_item -&gt; (phone_item.`phoneType` IS NULL OR (typeof(phone_item.`phoneType`) = 'string')))</t>
  </si>
  <si>
    <t>Data Files07102026.xlsx::Relationship!row 73 | Data Files07102026.xlsx::Relationship!row 77 | Data Files07102026.xlsx::Relationship!row 81</t>
  </si>
  <si>
    <t>VAL-02094</t>
  </si>
  <si>
    <t>ERR-REL-02094</t>
  </si>
  <si>
    <t>`relatedPerson.phones[].phoneType` IS NULL OR length(cast(`relatedPerson.phones[].phoneType` as string)) &lt;= 1 /* schema:unmapped, valid:no_match, datafiles:match, db:check_mapping */ | baseline: `relatedPerson`.`phones` IS NULL OR forall(`relatedPerson`.`phones`, phone_item -&gt; (phone_item.`phoneType` IS NULL OR (length(phone_item.`phoneType`) &lt;= 1)))</t>
  </si>
  <si>
    <t>VAL-02095</t>
  </si>
  <si>
    <t>ERR-REL-02095</t>
  </si>
  <si>
    <t>relatedPerson.phones[].phoneType must be one of: W, P, A.</t>
  </si>
  <si>
    <t>`relatedPerson.phones[].phoneType` IS NULL OR upper(trim(cast(`relatedPerson.phones[].phoneType` as string))) IN ('W', 'P', 'A') /* schema:unmapped, valid:no_match, datafiles:match, db:check_mapping */ | baseline: `relatedPerson`.`phones` IS NULL OR forall(`relatedPerson`.`phones`, phone_item -&gt; (phone_item.`phoneType` IS NULL OR (upper(trim(phone_item.`phoneType`)) IN ('W', 'P', 'A'))))</t>
  </si>
  <si>
    <t>VAL-02001</t>
  </si>
  <si>
    <t>ERR-REL-02001</t>
  </si>
  <si>
    <t>`relatedPerson.preferredCommunication` IS NULL OR typeof(`relatedPerson.preferredCommunication`) = 'string' /* schema:unmapped, valid:no_match, datafiles:match, db:check_mapping */ | baseline: `relatedPerson`.`preferredCommunication` IS NULL OR (typeof(`relatedPerson`.`preferredCommunication`) = 'string')</t>
  </si>
  <si>
    <t>Indicates the communication preference</t>
  </si>
  <si>
    <t>Data Files07102026.xlsx::Relationship!row 36 | Data Files07102026.xlsx::SmartDEV!row 35</t>
  </si>
  <si>
    <t>VAL-02002</t>
  </si>
  <si>
    <t>ERR-REL-02002</t>
  </si>
  <si>
    <t>`relatedPerson.preferredCommunication` IS NULL OR length(cast(`relatedPerson.preferredCommunication` as string)) &lt;= 1 /* schema:unmapped, valid:no_match, datafiles:match, db:check_mapping */ | baseline: `relatedPerson`.`preferredCommunication` IS NULL OR (length(`relatedPerson`.`preferredCommunication`) &lt;= 1)</t>
  </si>
  <si>
    <t>VAL-01992</t>
  </si>
  <si>
    <t>ERR-REL-01992</t>
  </si>
  <si>
    <t>`primaryAddressType` IS NULL OR (typeof(`primaryAddressType`) = 'string')</t>
  </si>
  <si>
    <t>`relatedPerson.primaryAddressType` IS NULL OR typeof(`relatedPerson.primaryAddressType`) = 'string' /* schema:unmapped, valid:no_match, datafiles:match, db:column_match */ | baseline: `relatedPerson`.`primaryAddressType` IS NULL OR (typeof(`relatedPerson`.`primaryAddressType`) = 'string')</t>
  </si>
  <si>
    <t>Indicates the primary address type</t>
  </si>
  <si>
    <t>Data Files07102026.xlsx::Relationship!row 33 | Data Files07102026.xlsx::SmartDEV!row 32</t>
  </si>
  <si>
    <t>VAL-01993</t>
  </si>
  <si>
    <t>ERR-REL-01993</t>
  </si>
  <si>
    <t>`primaryAddressType` IS NULL OR (length(`primaryAddressType`) &lt;= 1)</t>
  </si>
  <si>
    <t>`relatedPerson.primaryAddressType` IS NULL OR length(cast(`relatedPerson.primaryAddressType` as string)) &lt;= 1 /* schema:unmapped, valid:no_match, datafiles:match, db:column_match */ | baseline: `relatedPerson`.`primaryAddressType` IS NULL OR (length(`relatedPerson`.`primaryAddressType`) &lt;= 1)</t>
  </si>
  <si>
    <t>VAL-01994</t>
  </si>
  <si>
    <t>ERR-REL-01994</t>
  </si>
  <si>
    <t>relatedPerson.primaryAddressType must be one of: H, W, A.</t>
  </si>
  <si>
    <t>`relatedPerson.primaryAddressType` IS NULL OR upper(trim(cast(`relatedPerson.primaryAddressType` as string))) IN ('H', 'W', 'A') /* schema:unmapped, valid:no_match, datafiles:match, db:column_match */ | baseline: `relatedPerson`.`primaryAddressType` IS NULL OR (upper(trim(`relatedPerson`.`primaryAddressType`)) IN ('H', 'W', 'A'))</t>
  </si>
  <si>
    <t>VAL-01998</t>
  </si>
  <si>
    <t>ERR-REL-01998</t>
  </si>
  <si>
    <t>`relatedPerson.primaryEmailType` IS NULL OR typeof(`relatedPerson.primaryEmailType`) = 'string' /* schema:unmapped, valid:no_match, datafiles:match, db:column_match */ | baseline: `relatedPerson`.`primaryEmailType` IS NULL OR (typeof(`relatedPerson`.`primaryEmailType`) = 'string')</t>
  </si>
  <si>
    <t>Indicates the primary email type</t>
  </si>
  <si>
    <t>Data Files07102026.xlsx::Relationship!row 35 | Data Files07102026.xlsx::SmartDEV!row 34</t>
  </si>
  <si>
    <t>VAL-01999</t>
  </si>
  <si>
    <t>ERR-REL-01999</t>
  </si>
  <si>
    <t>`relatedPerson.primaryEmailType` IS NULL OR length(cast(`relatedPerson.primaryEmailType` as string)) &lt;= 1 /* schema:unmapped, valid:no_match, datafiles:match, db:column_match */ | baseline: `relatedPerson`.`primaryEmailType` IS NULL OR (length(`relatedPerson`.`primaryEmailType`) &lt;= 1)</t>
  </si>
  <si>
    <t>VAL-02000</t>
  </si>
  <si>
    <t>ERR-REL-02000</t>
  </si>
  <si>
    <t>relatedPerson.primaryEmailType must be one of: W, P, A.</t>
  </si>
  <si>
    <t>`relatedPerson.primaryEmailType` IS NULL OR upper(trim(cast(`relatedPerson.primaryEmailType` as string))) IN ('W', 'P', 'A') /* schema:unmapped, valid:no_match, datafiles:match, db:column_match */ | baseline: `relatedPerson`.`primaryEmailType` IS NULL OR (upper(trim(`relatedPerson`.`primaryEmailType`)) IN ('W', 'P', 'A'))</t>
  </si>
  <si>
    <t>VAL-01995</t>
  </si>
  <si>
    <t>ERR-REL-01995</t>
  </si>
  <si>
    <t>`relatedPerson.primaryPhoneType` IS NULL OR typeof(`relatedPerson.primaryPhoneType`) = 'string' /* schema:unmapped, valid:no_match, datafiles:match, db:check_mapping */ | baseline: `relatedPerson`.`primaryPhoneType` IS NULL OR (typeof(`relatedPerson`.`primaryPhoneType`) = 'string')</t>
  </si>
  <si>
    <t>Indicates the primary phone type</t>
  </si>
  <si>
    <t>Data Files07102026.xlsx::Relationship!row 34 | Data Files07102026.xlsx::SmartDEV!row 33</t>
  </si>
  <si>
    <t>VAL-01996</t>
  </si>
  <si>
    <t>ERR-REL-01996</t>
  </si>
  <si>
    <t>`relatedPerson.primaryPhoneType` IS NULL OR length(cast(`relatedPerson.primaryPhoneType` as string)) &lt;= 1 /* schema:unmapped, valid:no_match, datafiles:match, db:check_mapping */ | baseline: `relatedPerson`.`primaryPhoneType` IS NULL OR (length(`relatedPerson`.`primaryPhoneType`) &lt;= 1)</t>
  </si>
  <si>
    <t>VAL-01997</t>
  </si>
  <si>
    <t>ERR-REL-01997</t>
  </si>
  <si>
    <t>relatedPerson.primaryPhoneType must be one of: W, P, A.</t>
  </si>
  <si>
    <t>`relatedPerson.primaryPhoneType` IS NULL OR upper(trim(cast(`relatedPerson.primaryPhoneType` as string))) IN ('W', 'P', 'A') /* schema:unmapped, valid:no_match, datafiles:match, db:check_mapping */ | baseline: `relatedPerson`.`primaryPhoneType` IS NULL OR (upper(trim(`relatedPerson`.`primaryPhoneType`)) IN ('W', 'P', 'A'))</t>
  </si>
  <si>
    <t>VAL-01990</t>
  </si>
  <si>
    <t>ERR-REL-01990</t>
  </si>
  <si>
    <t>`relatedPerson.suffix` IS NULL OR cast(`relatedPerson.suffix` as decimal(38,10)) IS NOT NULL /* schema:unmapped, valid:no_match, datafiles:match, db:column_match */ | baseline: `relatedPerson`.`suffix` IS NULL OR (typeof(`relatedPerson`.`suffix`) = 'string')</t>
  </si>
  <si>
    <t>Represents the suffix of a person; Must reflect the employee’s legal name as maintained on the employee’s employment record. For available options, see Suffix section on "Reference Table".</t>
  </si>
  <si>
    <t>Data Files07102026.xlsx::Relationship!row 32</t>
  </si>
  <si>
    <t>VAL-01991</t>
  </si>
  <si>
    <t>ERR-REL-01991</t>
  </si>
  <si>
    <t>relatedPerson.suffix must not exceed 2 characters.</t>
  </si>
  <si>
    <t>`relatedPerson.suffix` IS NULL OR length(cast(`relatedPerson.suffix` as string)) &lt;= 2 /* schema:unmapped, valid:no_match, datafiles:match, db:column_match */ | baseline: `relatedPerson`.`suffix` IS NULL OR (length(`relatedPerson`.`suffix`) &lt;= 2)</t>
  </si>
  <si>
    <t>VAL-01988</t>
  </si>
  <si>
    <t>ERR-REL-01988</t>
  </si>
  <si>
    <t>`relatedPerson.title` IS NULL OR cast(`relatedPerson.title` as decimal(38,10)) IS NOT NULL /* schema:unmapped, valid:no_match, datafiles:match, db:check_mapping */ | baseline: `relatedPerson`.`title` IS NULL OR (typeof(`relatedPerson`.`title`) = 'string')</t>
  </si>
  <si>
    <t>Represents the title of a person; For available options, see Title section on "Reference Table".</t>
  </si>
  <si>
    <t>Data Files07102026.xlsx::Relationship!row 31</t>
  </si>
  <si>
    <t>VAL-01989</t>
  </si>
  <si>
    <t>ERR-REL-01989</t>
  </si>
  <si>
    <t>`relatedPerson.title` IS NULL OR length(cast(`relatedPerson.title` as string)) &lt;= 2 /* schema:unmapped, valid:no_match, datafiles:match, db:check_mapping */ | baseline: `relatedPerson`.`title` IS NULL OR (length(`relatedPerson`.`title`) &lt;= 2)</t>
  </si>
  <si>
    <t>VAL-01922</t>
  </si>
  <si>
    <t>ERR-REL-01922</t>
  </si>
  <si>
    <t>relatedPersonUniqueId</t>
  </si>
  <si>
    <t>relatedPersonUniqueId is required and must not be blank.</t>
  </si>
  <si>
    <t>`relatedPersonUniqueId` IS NOT NULL AND trim(`relatedPersonUniqueId`) &lt;&gt; ''</t>
  </si>
  <si>
    <t>`relatedPersonUniqueId` IS NOT NULL AND trim(cast(`relatedPersonUniqueId` as string)) &lt;&gt; '' /* schema:required, valid:no_match, datafiles:check, db:column_match */ | baseline: `relatedPersonUniqueId` IS NOT NULL AND trim(`relatedPersonUniqueId`) &lt;&gt; ''</t>
  </si>
  <si>
    <t>This is the unique identifier associated with the vendor sending the file.</t>
  </si>
  <si>
    <t>Data Files07102026.xlsx::Relationship!row 9</t>
  </si>
  <si>
    <t>VAL-01923</t>
  </si>
  <si>
    <t>ERR-REL-01923</t>
  </si>
  <si>
    <t>`relatedPersonUniqueId` IS NULL OR (typeof(`relatedPersonUniqueId`) = 'string')</t>
  </si>
  <si>
    <t>`relatedPersonUniqueId` IS NULL OR cast(`relatedPersonUniqueId` as decimal(38,10)) IS NOT NULL /* schema:required, valid:no_match, datafiles:check, db:column_match */ | baseline: `relatedPersonUniqueId` IS NULL OR (typeof(`relatedPersonUniqueId`) = 'string')</t>
  </si>
  <si>
    <t>Data Files07102026.xlsx::Relationship!row 9 | Data Files07102026.xlsx::SmartDEV!row 9</t>
  </si>
  <si>
    <t>VAL-01924</t>
  </si>
  <si>
    <t>ERR-REL-01924</t>
  </si>
  <si>
    <t>relatedPersonUniqueId must not exceed 64 characters.</t>
  </si>
  <si>
    <t>`relatedPersonUniqueId` IS NULL OR (length(`relatedPersonUniqueId`) &lt;= 64)</t>
  </si>
  <si>
    <t>`relatedPersonUniqueId` IS NULL OR length(cast(`relatedPersonUniqueId` as string)) &lt;= 1 /* schema:required, valid:no_match, datafiles:check, db:column_match */ | baseline: `relatedPersonUniqueId` IS NULL OR (length(`relatedPersonUniqueId`) &lt;= 64)</t>
  </si>
  <si>
    <t>VAL-00038</t>
  </si>
  <si>
    <t>ERR-REL-00038</t>
  </si>
  <si>
    <t>relationshipCode</t>
  </si>
  <si>
    <t>relationshipCode is required and must not be blank.</t>
  </si>
  <si>
    <t>`relationshipCode` IS NOT NULL AND trim(`relationshipCode`) &lt;&gt; ''</t>
  </si>
  <si>
    <t>`relationshipCode` IS NOT NULL AND trim(cast(`relationshipCode` as string)) &lt;&gt; '' /* schema:required, valid:no_match, datafiles:check, db:column_match */ | baseline: `relationshipCode` IS NOT NULL AND trim(`relationshipCode`) &lt;&gt; ''</t>
  </si>
  <si>
    <t>01, 02, 03, 04, 05, 06, 07, 08, 09, 11, 12, 13</t>
  </si>
  <si>
    <t>VAL-01956</t>
  </si>
  <si>
    <t>ERR-REL-01956</t>
  </si>
  <si>
    <t>relationship must have datatype string.</t>
  </si>
  <si>
    <t>`relationshipCode` IS NULL OR (typeof(`relationshipCode`) = 'string')</t>
  </si>
  <si>
    <t>`relationshipCode` IS NULL OR typeof(`relationshipCode`) = 'string' /* schema:required, valid:no_match, datafiles:check, db:column_match */ | baseline: `relationshipCode` IS NULL OR (typeof(`relationshipCode`) = 'string')</t>
  </si>
  <si>
    <t>Person's relationship to the associated employee. see Relationship section on "Person Reference Tables". | Canonicalized from an implemented composite structural rule.</t>
  </si>
  <si>
    <t>Data Files07102026.xlsx::Relationship!row 21 | structural_rules.yaml via Current L1 Config</t>
  </si>
  <si>
    <t>VAL-01957</t>
  </si>
  <si>
    <t>ERR-REL-01957</t>
  </si>
  <si>
    <t>`relationshipCode` IS NULL OR (length(`relationshipCode`) &lt;= 2)</t>
  </si>
  <si>
    <t>`relationshipCode` IS NULL OR length(cast(`relationshipCode` as string)) &lt;= 4 /* schema:required, valid:no_match, datafiles:check, db:column_match */ | baseline: `relationshipCode` IS NULL OR (length(`relationshipCode`) &lt;= 2)</t>
  </si>
  <si>
    <t>Person's relationship to the associated employee. see Relationship section on "Person Reference Tables".</t>
  </si>
  <si>
    <t>Data Files07102026.xlsx::Relationship!row 21</t>
  </si>
  <si>
    <t>VAL-01958</t>
  </si>
  <si>
    <t>ERR-REL-01958</t>
  </si>
  <si>
    <t>relationshipCode must be one of: 01, 02, 03, 04, 05, 06, 07, 08, 09, 11, 12, 13.</t>
  </si>
  <si>
    <t>`relationshipCode` IS NULL OR (upper(trim(`relationshipCode`)) IN ('01', '02', '03', '04', '05', '06', '07', '08', '09', '11', '12', '13'))</t>
  </si>
  <si>
    <t>`relationshipCode` IS NULL OR upper(trim(cast(`relationshipCode` as string))) IN ('01', '02', '03', '04', '05', '06', '07', '08', '09', '11', '12', '13') /* schema:required, valid:no_match, datafiles:check, db:column_match */ | baseline: `relationshipCode` IS NULL OR (upper(trim(`relationshipCode`)) IN ('01', '02', '03', '04', '05', '06', '07', '08', '09', '11', '12', '13'))</t>
  </si>
  <si>
    <t>VAL-01914</t>
  </si>
  <si>
    <t>ERR-REL-01914</t>
  </si>
  <si>
    <t>`sourceFileName` IS NOT NULL AND trim(`sourceFileName`) &lt;&gt; ''</t>
  </si>
  <si>
    <t>`sourceFileName` IS NOT NULL AND trim(cast(`sourceFileName` as string)) &lt;&gt; '' /* schema:optional, valid:no_match, datafiles:match, db:column_match */ | baseline: `sourceFileName` IS NOT NULL AND trim(`sourceFileName`) &lt;&gt; ''</t>
  </si>
  <si>
    <t>01_RELATION_MMDDYYYY</t>
  </si>
  <si>
    <t>Unique file name for each type of file (e.g. Personal, Employment, Relationship...)</t>
  </si>
  <si>
    <t>Data Files07102026.xlsx::Relationship!row 7</t>
  </si>
  <si>
    <t>VAL-01915</t>
  </si>
  <si>
    <t>ERR-REL-01915</t>
  </si>
  <si>
    <t>VAL-01916</t>
  </si>
  <si>
    <t>ERR-REL-01916</t>
  </si>
  <si>
    <t>VAL-01917</t>
  </si>
  <si>
    <t>ERR-REL-01917</t>
  </si>
  <si>
    <t>`sourceFileName` IS NULL OR upper(trim(cast(`sourceFileName` as string))) IN ('01_RELATION_MMDDYYYY') /* schema:optional, valid:no_match, datafiles:match, db:column_match */</t>
  </si>
  <si>
    <t>VAL-02910</t>
  </si>
  <si>
    <t>ERR-REL-02910</t>
  </si>
  <si>
    <t>employeeUniqueId, nonEmployeeTaxIdNumber</t>
  </si>
  <si>
    <t>Relationship record must link to an existing employee Person; dependent/non-employee identity must be present before creating person relationship.</t>
  </si>
  <si>
    <t>`employeeUniqueId, relatedPerson.nonEmployeeTaxIdNumber` IS NULL OR trim(cast(`employeeUniqueId, relatedPerson.nonEmployeeTaxIdNumber` as string)) &lt;&gt; '' /* schema:unmapped, valid:no_match, datafiles:match, db:column_match */</t>
  </si>
  <si>
    <t>Explaination needed</t>
  </si>
  <si>
    <t>1-64 characters; 9-256 characters</t>
  </si>
  <si>
    <t>Existing REL-BR-002/005</t>
  </si>
  <si>
    <t>VAL-02912</t>
  </si>
  <si>
    <t>ERR-REL-02912</t>
  </si>
  <si>
    <t>employeeUniqueId, nonEmployeeTaxIdNumber, relationshipCode</t>
  </si>
  <si>
    <t>Do not create duplicate relationship for same Employee ID + NonEmployee Tax ID Number + Relationship code/effective context.</t>
  </si>
  <si>
    <t>`employeeUniqueId, relatedPerson.nonEmployeeTaxIdNumber, relationshipCode` IS NULL OR trim(cast(`employeeUniqueId, relatedPerson.nonEmployeeTaxIdNumber, relationshipCode` as string)) &lt;&gt; '' /* schema:required, valid:no_match, datafiles:check, db:column_match */</t>
  </si>
  <si>
    <t>Existing relationships</t>
  </si>
  <si>
    <t>Existing REL-BR-007</t>
  </si>
  <si>
    <t>VAL-02914</t>
  </si>
  <si>
    <t>ERR-REL-02914</t>
  </si>
  <si>
    <t>addresses[].addressType, emails[].email, emails[].emailType, phones[].phoneNumber, phones[].phoneType</t>
  </si>
  <si>
    <t>If dependent email/phone/address groups are present, their type fields and values must be populated and internally consistent.</t>
  </si>
  <si>
    <t>`relatedPerson.addresses[].addressType, relatedPerson.emails[].email, relatedPerson.emails[].emailType, relatedPerson.phones[].phoneNumber, relatedPerson.phones[].phoneType` IS NULL OR trim(cast(`relatedPerson.addresses[].addressType, relatedPerson.emails[].email, relatedPerson.emails[].emailType, relatedPerson.phones[].phoneNumber, relatedPerson.phones[].phoneType` as string)) &lt;&gt; '' /* schema:unmapped, valid:no_match, datafiles:match, db:column_match */</t>
  </si>
  <si>
    <t>H, W, A; W, P, A</t>
  </si>
  <si>
    <t>Relationship fields</t>
  </si>
  <si>
    <t>Review Classification</t>
  </si>
  <si>
    <t>Schema Finding</t>
  </si>
  <si>
    <t>VAL-00928</t>
  </si>
  <si>
    <t>ERR-PER-00928</t>
  </si>
  <si>
    <t>Column Count</t>
  </si>
  <si>
    <t>Detail record should match the configured layout for Person; expected detail fields from workbook: 86.</t>
  </si>
  <si>
    <t>size(split(detail_record, '\|')) = 86 /* schema:file_level, valid:no_match, datafiles:check, db:check_mapping */</t>
  </si>
  <si>
    <t>Not present in the approved Person schema: Column Count.</t>
  </si>
  <si>
    <t>Header/footer have their own field counts.</t>
  </si>
  <si>
    <t>Extracted from Data Files07102026.xlsx::Person</t>
  </si>
  <si>
    <t>OUTSIDE APPROVED SCHEMA</t>
  </si>
  <si>
    <t>VAL-00938</t>
  </si>
  <si>
    <t>ERR-REL-00938</t>
  </si>
  <si>
    <t>Detail record should match the configured layout for Relationship; expected detail fields from workbook: 69.</t>
  </si>
  <si>
    <t>size(split(detail_record, '\|')) = 69 /* schema:file_level, valid:no_match, datafiles:check, db:check_mapping */</t>
  </si>
  <si>
    <t>Not present in the approved Relationship schema: Column Count.</t>
  </si>
  <si>
    <t>Extracted from Data Files07102026.xlsx::Relationship</t>
  </si>
  <si>
    <t>VAL-00950</t>
  </si>
  <si>
    <t>ERR-PER-00950</t>
  </si>
  <si>
    <t>Detail record should match the configured layout for SmartDEV; expected detail fields from workbook: 31.</t>
  </si>
  <si>
    <t>size(split(detail_record, '\|')) = 31 /* schema:file_level, valid:no_match, datafiles:check, db:check_mapping */</t>
  </si>
  <si>
    <t>Extracted from Data Files07102026.xlsx::SmartDEV</t>
  </si>
  <si>
    <t>ERR-REL-00950</t>
  </si>
  <si>
    <t>VAL-01137</t>
  </si>
  <si>
    <t>ERR-PER-01137</t>
  </si>
  <si>
    <t>Comment</t>
  </si>
  <si>
    <t>`Comment` IS NULL OR typeof(`Comment`) = 'string' /* schema:file_level, valid:no_match, datafiles:match, db:column_match */</t>
  </si>
  <si>
    <t>Not present in the approved Person schema: Comment.</t>
  </si>
  <si>
    <t>alphaSpecial</t>
  </si>
  <si>
    <t>Data Files07102026.xlsx::Person!row 71 | Data Files07102026.xlsx::Person!row 74 | Data Files07102026.xlsx::Person!row 77 | Data Files07102026.xlsx::Person!row 81 | Data Files07102026.xlsx::Person!row 85 | Data Files07102026.xlsx::Person!row 89</t>
  </si>
  <si>
    <t>VAL-02077</t>
  </si>
  <si>
    <t>ERR-REL-02077</t>
  </si>
  <si>
    <t>Not present in the approved Relationship schema: Comment.</t>
  </si>
  <si>
    <t>Data Files07102026.xlsx::Relationship!row 66 | Data Files07102026.xlsx::Relationship!row 69 | Data Files07102026.xlsx::Relationship!row 72 | Data Files07102026.xlsx::Relationship!row 76 | Data Files07102026.xlsx::Relationship!row 80 | Data Files07102026.xlsx::Relationship!row 84</t>
  </si>
  <si>
    <t>VAL-01138</t>
  </si>
  <si>
    <t>ERR-PER-01138</t>
  </si>
  <si>
    <t>Field length must be &lt;= 200 characters/digits as defined in the workbook.</t>
  </si>
  <si>
    <t>`Comment` IS NULL OR length(cast(`Comment` as string)) &lt;= 200 /* schema:file_level, valid:no_match, datafiles:match, db:column_match */</t>
  </si>
  <si>
    <t>VAL-02078</t>
  </si>
  <si>
    <t>ERR-REL-02078</t>
  </si>
  <si>
    <t>VAL-00971</t>
  </si>
  <si>
    <t>ERR-PER-00971</t>
  </si>
  <si>
    <t>Create Date</t>
  </si>
  <si>
    <t>Field must be populated for required populations: SmartDEV, Retirement, Health. Optional populations: none listed.</t>
  </si>
  <si>
    <t>`Create Date` IS NOT NULL AND trim(cast(`Create Date` as string)) &lt;&gt; '' /* schema:file_level, valid:no_match, datafiles:match, db:column_match */</t>
  </si>
  <si>
    <t>Not present in the approved Person schema: Create Date.</t>
  </si>
  <si>
    <t>dateISO</t>
  </si>
  <si>
    <t>File creation date. Defaults to the effective date if none is provided.</t>
  </si>
  <si>
    <t>Data Files07102026.xlsx::Person!row 10</t>
  </si>
  <si>
    <t>VAL-01925</t>
  </si>
  <si>
    <t>ERR-REL-01925</t>
  </si>
  <si>
    <t>Not present in the approved Relationship schema: Create Date.</t>
  </si>
  <si>
    <t>Data Files07102026.xlsx::Relationship!row 10</t>
  </si>
  <si>
    <t>VAL-00972</t>
  </si>
  <si>
    <t>ERR-PER-00972</t>
  </si>
  <si>
    <t>`Create Date` IS NULL OR to_date(cast(`Create Date` as string), 'MM/dd/yyyy') IS NOT NULL /* schema:file_level, valid:no_match, datafiles:match, db:column_match */</t>
  </si>
  <si>
    <t>Data Files07102026.xlsx::Person!row 10 | Data Files07102026.xlsx::SmartDEV!row 10</t>
  </si>
  <si>
    <t>VAL-01926</t>
  </si>
  <si>
    <t>ERR-REL-01926</t>
  </si>
  <si>
    <t>Data Files07102026.xlsx::Relationship!row 10 | Data Files07102026.xlsx::SmartDEV!row 10</t>
  </si>
  <si>
    <t>VAL-00973</t>
  </si>
  <si>
    <t>ERR-PER-00973</t>
  </si>
  <si>
    <t>`Create Date` IS NULL OR length(cast(`Create Date` as string)) &lt;= 10 /* schema:file_level, valid:no_match, datafiles:match, db:column_match */</t>
  </si>
  <si>
    <t>VAL-01927</t>
  </si>
  <si>
    <t>ERR-REL-01927</t>
  </si>
  <si>
    <t>VAL-00974</t>
  </si>
  <si>
    <t>ERR-PER-00974</t>
  </si>
  <si>
    <t>Date must be parseable, not use placeholder values, and fall within agreed migration bounds unless domain rules explicitly allow otherwise.</t>
  </si>
  <si>
    <t>VAL-01928</t>
  </si>
  <si>
    <t>ERR-REL-01928</t>
  </si>
  <si>
    <t>VAL-00975</t>
  </si>
  <si>
    <t>ERR-PER-00975</t>
  </si>
  <si>
    <t>Create Timestamp</t>
  </si>
  <si>
    <t>`Create Timestamp` IS NOT NULL AND trim(cast(`Create Timestamp` as string)) &lt;&gt; '' /* schema:file_level, valid:no_match, datafiles:match, db:column_match */</t>
  </si>
  <si>
    <t>Not present in the approved Person schema: Create Timestamp.</t>
  </si>
  <si>
    <t>timeOnly</t>
  </si>
  <si>
    <t>hh:mm:ss</t>
  </si>
  <si>
    <t>File creation timestamp. Defaults to the timestamp of the effective date if none is provided.</t>
  </si>
  <si>
    <t>Data Files07102026.xlsx::Person!row 11</t>
  </si>
  <si>
    <t>VAL-01929</t>
  </si>
  <si>
    <t>ERR-REL-01929</t>
  </si>
  <si>
    <t>Not present in the approved Relationship schema: Create Timestamp.</t>
  </si>
  <si>
    <t>Data Files07102026.xlsx::Relationship!row 11</t>
  </si>
  <si>
    <t>VAL-00976</t>
  </si>
  <si>
    <t>ERR-PER-00976</t>
  </si>
  <si>
    <t>Validate as time-only value in configured HH:MM:SS style format.</t>
  </si>
  <si>
    <t>`Create Timestamp` IS NULL OR to_timestamp(cast(`Create Timestamp` as string), 'HH:mm:ss') IS NOT NULL /* schema:file_level, valid:no_match, datafiles:match, db:column_match */</t>
  </si>
  <si>
    <t>Data Files07102026.xlsx::Person!row 11 | Data Files07102026.xlsx::SmartDEV!row 11</t>
  </si>
  <si>
    <t>VAL-01930</t>
  </si>
  <si>
    <t>ERR-REL-01930</t>
  </si>
  <si>
    <t>Data Files07102026.xlsx::Relationship!row 11 | Data Files07102026.xlsx::SmartDEV!row 11</t>
  </si>
  <si>
    <t>VAL-00977</t>
  </si>
  <si>
    <t>ERR-PER-00977</t>
  </si>
  <si>
    <t>Field length must be &lt;= 8 characters/digits as defined in the workbook.</t>
  </si>
  <si>
    <t>`Create Timestamp` IS NULL OR length(cast(`Create Timestamp` as string)) &lt;= 8 /* schema:file_level, valid:no_match, datafiles:match, db:column_match */</t>
  </si>
  <si>
    <t>VAL-01931</t>
  </si>
  <si>
    <t>ERR-REL-01931</t>
  </si>
  <si>
    <t>VAL-00978</t>
  </si>
  <si>
    <t>ERR-PER-00978</t>
  </si>
  <si>
    <t>`Create Timestamp` IS NULL OR upper(trim(cast(`Create Timestamp` as string))) IN ('HH=MM:SS') /* schema:file_level, valid:no_match, datafiles:match, db:column_match */</t>
  </si>
  <si>
    <t>hh=mm:ss</t>
  </si>
  <si>
    <t>VAL-01932</t>
  </si>
  <si>
    <t>ERR-REL-01932</t>
  </si>
  <si>
    <t>VAL-01952</t>
  </si>
  <si>
    <t>ERR-REL-01952</t>
  </si>
  <si>
    <t>Employee First Name</t>
  </si>
  <si>
    <t>`Employee First Name` IS NOT NULL AND trim(cast(`Employee First Name` as string)) &lt;&gt; '' /* schema:file_level, valid:no_match, datafiles:match, db:column_match */</t>
  </si>
  <si>
    <t>Not present in the approved Relationship schema: Employee First Name.</t>
  </si>
  <si>
    <t>nameFlexible</t>
  </si>
  <si>
    <t>John</t>
  </si>
  <si>
    <t>Person's first name; Must reflect the employee’s legal name as maintained on the employee’s employment record. This does not get loaded; this and other fields (Unique Identifier, Source Assignment Id, Employee Last Name) are used to identify a record in the system.</t>
  </si>
  <si>
    <t>Data Files07102026.xlsx::Relationship!row 20</t>
  </si>
  <si>
    <t>VAL-01953</t>
  </si>
  <si>
    <t>ERR-REL-01953</t>
  </si>
  <si>
    <t>`Employee First Name` IS NULL OR typeof(`Employee First Name`) = 'string' /* schema:file_level, valid:no_match, datafiles:match, db:column_match */</t>
  </si>
  <si>
    <t>VAL-01954</t>
  </si>
  <si>
    <t>ERR-REL-01954</t>
  </si>
  <si>
    <t>Field length must be &lt;= 50 characters/digits as defined in the workbook.</t>
  </si>
  <si>
    <t>`Employee First Name` IS NULL OR length(cast(`Employee First Name` as string)) &lt;= 50 /* schema:file_level, valid:no_match, datafiles:match, db:column_match */</t>
  </si>
  <si>
    <t>VAL-01949</t>
  </si>
  <si>
    <t>ERR-REL-01949</t>
  </si>
  <si>
    <t>Employee Last Name</t>
  </si>
  <si>
    <t>`Employee Last Name` IS NOT NULL AND trim(cast(`Employee Last Name` as string)) &lt;&gt; '' /* schema:file_level, valid:no_match, datafiles:match, db:column_match */</t>
  </si>
  <si>
    <t>Not present in the approved Relationship schema: Employee Last Name.</t>
  </si>
  <si>
    <t>Doe</t>
  </si>
  <si>
    <t>Person's last name; Must reflect the employee’s legal name as maintained on the employee’s employment record. This does not get loaded; this and other fields (Unique Identifier, Source Assignment Id, Employee First Name) are used to identify a record in the system.</t>
  </si>
  <si>
    <t>Data Files07102026.xlsx::Relationship!row 19</t>
  </si>
  <si>
    <t>VAL-01950</t>
  </si>
  <si>
    <t>ERR-REL-01950</t>
  </si>
  <si>
    <t>`Employee Last Name` IS NULL OR typeof(`Employee Last Name`) = 'string' /* schema:file_level, valid:no_match, datafiles:match, db:column_match */</t>
  </si>
  <si>
    <t>Data Files07102026.xlsx::Relationship!row 19 | Data Files07102026.xlsx::SmartDEV!row 22</t>
  </si>
  <si>
    <t>VAL-01951</t>
  </si>
  <si>
    <t>ERR-REL-01951</t>
  </si>
  <si>
    <t>Field length must be &lt;= 100 characters/digits as defined in the workbook.</t>
  </si>
  <si>
    <t>`Employee Last Name` IS NULL OR length(cast(`Employee Last Name` as string)) &lt;= 100 /* schema:file_level, valid:no_match, datafiles:match, db:column_match */</t>
  </si>
  <si>
    <t>VAL-02723</t>
  </si>
  <si>
    <t>ERR-REL-02723</t>
  </si>
  <si>
    <t>Employee Tax ID Number</t>
  </si>
  <si>
    <t>Field must be populated for required populations: All. Optional populations: none listed.</t>
  </si>
  <si>
    <t>`Employee Tax ID Number` IS NOT NULL AND trim(cast(`Employee Tax ID Number` as string)) &lt;&gt; '' /* schema:file_level, valid:no_match, datafiles:match, db:column_match */</t>
  </si>
  <si>
    <t>Not present in the approved Relationship schema: Employee Tax ID Number.</t>
  </si>
  <si>
    <t>alphaNumeric</t>
  </si>
  <si>
    <t>SSN or ITIN of the employee being reported. This does not get loaded; this and other fields (Employee Source Assignment Id, Employee Last Name, Employee First Name) are used to identify the employee record in the system to which the non-employee person records to be associated with.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</si>
  <si>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Data Files07102026.xlsx::SmartDEV!row 19</t>
  </si>
  <si>
    <t>VAL-02724</t>
  </si>
  <si>
    <t>ERR-REL-02724</t>
  </si>
  <si>
    <t>`Employee Tax ID Number` IS NULL OR cast(`Employee Tax ID Number` as decimal(38,10)) IS NOT NULL /* schema:file_level, valid:no_match, datafiles:match, db:column_match */</t>
  </si>
  <si>
    <t>VAL-02725</t>
  </si>
  <si>
    <t>ERR-REL-02725</t>
  </si>
  <si>
    <t>Field length must be &lt;= 9 characters/digits as defined in the workbook.</t>
  </si>
  <si>
    <t>`Employee Tax ID Number` IS NULL OR length(cast(`Employee Tax ID Number` as string)) &lt;= 9 /* schema:file_level, valid:no_match, datafiles:match, db:column_match */</t>
  </si>
  <si>
    <t>VAL-02726</t>
  </si>
  <si>
    <t>ERR-REL-02726</t>
  </si>
  <si>
    <t>`Employee Tax ID Number` IS NULL OR upper(trim(cast(`Employee Tax ID Number` as string))) IN ('XXX-XX-1234') /* schema:file_level, valid:no_match, datafiles:match, db:column_match */</t>
  </si>
  <si>
    <t>VAL-02727</t>
  </si>
  <si>
    <t>ERR-REL-02727</t>
  </si>
  <si>
    <t>Employee Tax ID Type</t>
  </si>
  <si>
    <t>`Employee Tax ID Type` IS NULL OR typeof(`Employee Tax ID Type`) = 'string' /* schema:file_level, valid:no_match, datafiles:match, db:check_mapping */</t>
  </si>
  <si>
    <t>Not present in the approved Relationship schema: Employee Tax ID Type.</t>
  </si>
  <si>
    <t>alphaUpper</t>
  </si>
  <si>
    <t>SSN: Social Security Number
ITIN: Individual Taxpayer Identification Number</t>
  </si>
  <si>
    <t>Data Files07102026.xlsx::SmartDEV!row 20</t>
  </si>
  <si>
    <t>VAL-02728</t>
  </si>
  <si>
    <t>ERR-REL-02728</t>
  </si>
  <si>
    <t>`Employee Tax ID Type` IS NULL OR length(cast(`Employee Tax ID Type` as string)) &lt;= 4 /* schema:file_level, valid:no_match, datafiles:match, db:check_mapping */</t>
  </si>
  <si>
    <t>VAL-02729</t>
  </si>
  <si>
    <t>ERR-REL-02729</t>
  </si>
  <si>
    <t>`Employee Tax ID Type` IS NULL OR upper(trim(cast(`Employee Tax ID Type` as string))) IN ('SSN=SOCIAL SECURITY NUMBER') /* schema:file_level, valid:no_match, datafiles:match, db:check_mapping */</t>
  </si>
  <si>
    <t>SSN=Social Security Number; ITIN=Individual Taxpayer Identification Number</t>
  </si>
  <si>
    <t>VAL-02730</t>
  </si>
  <si>
    <t>ERR-REL-02730</t>
  </si>
  <si>
    <t>Employee US Citizen</t>
  </si>
  <si>
    <t>`Employee US Citizen` IS NULL OR upper(trim(cast(`Employee US Citizen` as string))) IN ('Y','N','TRUE','FALSE','1','0') /* schema:file_level, valid:no_match, datafiles:match, db:check_mapping */</t>
  </si>
  <si>
    <t>Not present in the approved Relationship schema: Employee US Citizen.</t>
  </si>
  <si>
    <t>Data Files07102026.xlsx::SmartDEV!row 21</t>
  </si>
  <si>
    <t>VAL-02731</t>
  </si>
  <si>
    <t>ERR-REL-02731</t>
  </si>
  <si>
    <t>`Employee US Citizen` IS NULL OR length(cast(`Employee US Citizen` as string)) &lt;= 1 /* schema:file_level, valid:no_match, datafiles:match, db:check_mapping */</t>
  </si>
  <si>
    <t>VAL-00927</t>
  </si>
  <si>
    <t>ERR-PER-00927</t>
  </si>
  <si>
    <t>File Structure</t>
  </si>
  <si>
    <t>File must contain exactly one header record, one or more detail records, and one footer record.</t>
  </si>
  <si>
    <t>`File Structure` IS NULL OR trim(cast(`File Structure` as string)) &lt;&gt; '' /* schema:file_level, valid:no_match, datafiles:check, db:check_mapping */</t>
  </si>
  <si>
    <t>Not present in the approved Person schema: File Structure.</t>
  </si>
  <si>
    <t>Apply before field-level validation.</t>
  </si>
  <si>
    <t>File Considerations states each file must have header, detail, and footer row.</t>
  </si>
  <si>
    <t>VAL-00937</t>
  </si>
  <si>
    <t>ERR-REL-00937</t>
  </si>
  <si>
    <t>Not present in the approved Relationship schema: File Structure.</t>
  </si>
  <si>
    <t>VAL-00964</t>
  </si>
  <si>
    <t>ERR-PER-00964</t>
  </si>
  <si>
    <t>File Type</t>
  </si>
  <si>
    <t>`File Type` IS NOT NULL AND trim(cast(`File Type` as string)) &lt;&gt; '' /* schema:file_level, valid:no_match, datafiles:match, db:column_match */</t>
  </si>
  <si>
    <t>Not present in the approved Person schema: File Type.</t>
  </si>
  <si>
    <t>01: txt
02: csv
03: xlsx</t>
  </si>
  <si>
    <t>This file type must match the extension of the name of the file itself.</t>
  </si>
  <si>
    <t>Data Files07102026.xlsx::Person!row 8</t>
  </si>
  <si>
    <t>VAL-01918</t>
  </si>
  <si>
    <t>ERR-REL-01918</t>
  </si>
  <si>
    <t>Not present in the approved Relationship schema: File Type.</t>
  </si>
  <si>
    <t>Data Files07102026.xlsx::Relationship!row 8</t>
  </si>
  <si>
    <t>VAL-00965</t>
  </si>
  <si>
    <t>ERR-PER-00965</t>
  </si>
  <si>
    <t>`File Type` IS NULL OR cast(`File Type` as decimal(38,10)) IS NOT NULL /* schema:file_level, valid:no_match, datafiles:match, db:column_match */</t>
  </si>
  <si>
    <t>Data Files07102026.xlsx::Person!row 8 | Data Files07102026.xlsx::SmartDEV!row 8</t>
  </si>
  <si>
    <t>VAL-01919</t>
  </si>
  <si>
    <t>ERR-REL-01919</t>
  </si>
  <si>
    <t>Data Files07102026.xlsx::Relationship!row 8 | Data Files07102026.xlsx::SmartDEV!row 8</t>
  </si>
  <si>
    <t>VAL-00966</t>
  </si>
  <si>
    <t>ERR-PER-00966</t>
  </si>
  <si>
    <t>`File Type` IS NULL OR length(cast(`File Type` as string)) &lt;= 2 /* schema:file_level, valid:no_match, datafiles:match, db:column_match */</t>
  </si>
  <si>
    <t>VAL-01920</t>
  </si>
  <si>
    <t>ERR-REL-01920</t>
  </si>
  <si>
    <t>VAL-00967</t>
  </si>
  <si>
    <t>ERR-PER-00967</t>
  </si>
  <si>
    <t>`File Type` IS NULL OR upper(trim(cast(`File Type` as string))) IN ('01=TXT', '02=CSV', '03=XLSX') /* schema:file_level, valid:no_match, datafiles:match, db:column_match */</t>
  </si>
  <si>
    <t>01=txt; 02=csv; 03=xlsx</t>
  </si>
  <si>
    <t>VAL-01921</t>
  </si>
  <si>
    <t>ERR-REL-01921</t>
  </si>
  <si>
    <t>VAL-00979</t>
  </si>
  <si>
    <t>ERR-PER-00979</t>
  </si>
  <si>
    <t>Period Begin Date</t>
  </si>
  <si>
    <t>`Period Begin Date` IS NULL OR to_date(cast(`Period Begin Date` as string), 'MM/dd/yyyy') IS NOT NULL /* schema:file_level, valid:no_match, datafiles:match, db:column_match */</t>
  </si>
  <si>
    <t>Not present in the approved Person schema: Period Begin Date.</t>
  </si>
  <si>
    <t>Marks the beginning of the data period. Typically defaults to the first of the previous month unless otherwise defined by the client.</t>
  </si>
  <si>
    <t>Data Files07102026.xlsx::Person!row 12 | Data Files07102026.xlsx::SmartDEV!row 12</t>
  </si>
  <si>
    <t>VAL-01933</t>
  </si>
  <si>
    <t>ERR-REL-01933</t>
  </si>
  <si>
    <t>Not present in the approved Relationship schema: Period Begin Date.</t>
  </si>
  <si>
    <t>Data Files07102026.xlsx::Relationship!row 12 | Data Files07102026.xlsx::SmartDEV!row 12</t>
  </si>
  <si>
    <t>VAL-00980</t>
  </si>
  <si>
    <t>ERR-PER-00980</t>
  </si>
  <si>
    <t>`Period Begin Date` IS NULL OR length(cast(`Period Begin Date` as string)) &lt;= 10 /* schema:file_level, valid:no_match, datafiles:match, db:column_match */</t>
  </si>
  <si>
    <t>VAL-01934</t>
  </si>
  <si>
    <t>ERR-REL-01934</t>
  </si>
  <si>
    <t>VAL-00981</t>
  </si>
  <si>
    <t>ERR-PER-00981</t>
  </si>
  <si>
    <t>VAL-01935</t>
  </si>
  <si>
    <t>ERR-REL-01935</t>
  </si>
  <si>
    <t>VAL-00982</t>
  </si>
  <si>
    <t>ERR-PER-00982</t>
  </si>
  <si>
    <t>Period End Date</t>
  </si>
  <si>
    <t>`Period End Date` IS NULL OR to_date(cast(`Period End Date` as string), 'MM/dd/yyyy') IS NOT NULL /* schema:file_level, valid:no_match, datafiles:match, db:column_match */</t>
  </si>
  <si>
    <t>Not present in the approved Person schema: Period End Date.</t>
  </si>
  <si>
    <t>Marks the ending of the data period. Typically defaults to the last of the previous month unless otherwise defined by the client.</t>
  </si>
  <si>
    <t>Data Files07102026.xlsx::Person!row 13 | Data Files07102026.xlsx::SmartDEV!row 13</t>
  </si>
  <si>
    <t>VAL-01936</t>
  </si>
  <si>
    <t>ERR-REL-01936</t>
  </si>
  <si>
    <t>Not present in the approved Relationship schema: Period End Date.</t>
  </si>
  <si>
    <t>Data Files07102026.xlsx::Relationship!row 13 | Data Files07102026.xlsx::SmartDEV!row 13</t>
  </si>
  <si>
    <t>VAL-00983</t>
  </si>
  <si>
    <t>ERR-PER-00983</t>
  </si>
  <si>
    <t>`Period End Date` IS NULL OR length(cast(`Period End Date` as string)) &lt;= 10 /* schema:file_level, valid:no_match, datafiles:match, db:column_match */</t>
  </si>
  <si>
    <t>VAL-01937</t>
  </si>
  <si>
    <t>ERR-REL-01937</t>
  </si>
  <si>
    <t>VAL-00984</t>
  </si>
  <si>
    <t>ERR-PER-00984</t>
  </si>
  <si>
    <t>VAL-01938</t>
  </si>
  <si>
    <t>ERR-REL-01938</t>
  </si>
  <si>
    <t>VAL-01228</t>
  </si>
  <si>
    <t>ERR-PER-01228</t>
  </si>
  <si>
    <t>Record Count</t>
  </si>
  <si>
    <t>`Record Count` IS NOT NULL AND trim(cast(`Record Count` as string)) &lt;&gt; '' /* schema:file_level, valid:no_match, datafiles:match, db:column_match */</t>
  </si>
  <si>
    <t>Not present in the approved Person schema: Record Count.</t>
  </si>
  <si>
    <t>numeric</t>
  </si>
  <si>
    <t>Number of records on file excluding header and footer records</t>
  </si>
  <si>
    <t>Data Files07102026.xlsx::Person!row 107</t>
  </si>
  <si>
    <t>VAL-02136</t>
  </si>
  <si>
    <t>ERR-REL-02136</t>
  </si>
  <si>
    <t>Not present in the approved Relationship schema: Record Count.</t>
  </si>
  <si>
    <t>Data Files07102026.xlsx::Relationship!row 90</t>
  </si>
  <si>
    <t>VAL-01229</t>
  </si>
  <si>
    <t>ERR-PER-01229</t>
  </si>
  <si>
    <t>`Record Count` IS NULL OR cast(`Record Count` as decimal(38,10)) IS NOT NULL /* schema:file_level, valid:no_match, datafiles:match, db:column_match */</t>
  </si>
  <si>
    <t>Data Files07102026.xlsx::Person!row 107 | Data Files07102026.xlsx::SmartDEV!row 54</t>
  </si>
  <si>
    <t>VAL-02137</t>
  </si>
  <si>
    <t>ERR-REL-02137</t>
  </si>
  <si>
    <t>Data Files07102026.xlsx::Relationship!row 90 | Data Files07102026.xlsx::SmartDEV!row 54</t>
  </si>
  <si>
    <t>VAL-01230</t>
  </si>
  <si>
    <t>ERR-PER-01230</t>
  </si>
  <si>
    <t>Field length must be &lt;= 12 characters/digits as defined in the workbook.</t>
  </si>
  <si>
    <t>`Record Count` IS NULL OR length(cast(`Record Count` as string)) &lt;= 12 /* schema:file_level, valid:no_match, datafiles:match, db:column_match */</t>
  </si>
  <si>
    <t>VAL-02138</t>
  </si>
  <si>
    <t>ERR-REL-02138</t>
  </si>
  <si>
    <t>VAL-01231</t>
  </si>
  <si>
    <t>ERR-PER-01231</t>
  </si>
  <si>
    <t>Footer Record Count must equal the number of detail records, excluding header and footer.</t>
  </si>
  <si>
    <t>`Record Count` IS NULL OR trim(cast(`Record Count` as string)) &lt;&gt; '' /* schema:file_level, valid:no_match, datafiles:match, db:column_match */</t>
  </si>
  <si>
    <t>VAL-02139</t>
  </si>
  <si>
    <t>ERR-REL-02139</t>
  </si>
  <si>
    <t>VAL-00951</t>
  </si>
  <si>
    <t>ERR-PER-00951</t>
  </si>
  <si>
    <t>Record Type</t>
  </si>
  <si>
    <t>`Record Type` IS NOT NULL AND trim(cast(`Record Type` as string)) &lt;&gt; '' /* schema:file_level, valid:no_match, datafiles:match, db:column_match */</t>
  </si>
  <si>
    <t>Not present in the approved Person schema: Record Type.</t>
  </si>
  <si>
    <t>H</t>
  </si>
  <si>
    <t>Header Record</t>
  </si>
  <si>
    <t>Data Files07102026.xlsx::Person!row 5</t>
  </si>
  <si>
    <t>VAL-01905</t>
  </si>
  <si>
    <t>ERR-REL-01905</t>
  </si>
  <si>
    <t>Not present in the approved Relationship schema: Record Type.</t>
  </si>
  <si>
    <t>Data Files07102026.xlsx::Relationship!row 5</t>
  </si>
  <si>
    <t>VAL-00952</t>
  </si>
  <si>
    <t>ERR-PER-00952</t>
  </si>
  <si>
    <t>`Record Type` IS NULL OR typeof(`Record Type`) = 'string' /* schema:file_level, valid:no_match, datafiles:match, db:column_match */</t>
  </si>
  <si>
    <t>Data Files07102026.xlsx::Person!row 5 | Data Files07102026.xlsx::SmartDEV!row 5</t>
  </si>
  <si>
    <t>VAL-00989</t>
  </si>
  <si>
    <t>ERR-PER-00989</t>
  </si>
  <si>
    <t>Record Type must equal 'D' for detail records.</t>
  </si>
  <si>
    <t>D</t>
  </si>
  <si>
    <t>Detail Record</t>
  </si>
  <si>
    <t>Data Files07102026.xlsx::Person!row 16 | Data Files07102026.xlsx::SmartDEV!row 16</t>
  </si>
  <si>
    <t>VAL-01219</t>
  </si>
  <si>
    <t>ERR-PER-01219</t>
  </si>
  <si>
    <t>Record Type must equal 'F' for footer records.</t>
  </si>
  <si>
    <t>F</t>
  </si>
  <si>
    <t>Footer Record</t>
  </si>
  <si>
    <t>Data Files07102026.xlsx::Person!row 104 | Data Files07102026.xlsx::SmartDEV!row 51</t>
  </si>
  <si>
    <t>VAL-01906</t>
  </si>
  <si>
    <t>ERR-REL-01906</t>
  </si>
  <si>
    <t>Data Files07102026.xlsx::Relationship!row 5 | Data Files07102026.xlsx::SmartDEV!row 5</t>
  </si>
  <si>
    <t>VAL-01943</t>
  </si>
  <si>
    <t>ERR-REL-01943</t>
  </si>
  <si>
    <t>Data Files07102026.xlsx::Relationship!row 16 | Data Files07102026.xlsx::SmartDEV!row 16</t>
  </si>
  <si>
    <t>VAL-02127</t>
  </si>
  <si>
    <t>ERR-REL-02127</t>
  </si>
  <si>
    <t>Data Files07102026.xlsx::Relationship!row 87 | Data Files07102026.xlsx::SmartDEV!row 51</t>
  </si>
  <si>
    <t>VAL-00953</t>
  </si>
  <si>
    <t>ERR-PER-00953</t>
  </si>
  <si>
    <t>`Record Type` IS NULL OR length(cast(`Record Type` as string)) &lt;= 1 /* schema:file_level, valid:no_match, datafiles:match, db:column_match */</t>
  </si>
  <si>
    <t>VAL-01907</t>
  </si>
  <si>
    <t>ERR-REL-01907</t>
  </si>
  <si>
    <t>VAL-00954</t>
  </si>
  <si>
    <t>ERR-PER-00954</t>
  </si>
  <si>
    <t>`Record Type` IS NULL OR upper(trim(cast(`Record Type` as string))) IN ('H') /* schema:file_level, valid:no_match, datafiles:match, db:column_match */</t>
  </si>
  <si>
    <t>VAL-01908</t>
  </si>
  <si>
    <t>ERR-REL-01908</t>
  </si>
  <si>
    <t>VAL-00955</t>
  </si>
  <si>
    <t>ERR-PER-00955</t>
  </si>
  <si>
    <t>Record Type must equal 'H' for header records.</t>
  </si>
  <si>
    <t>`Record Type` IS NULL OR trim(cast(`Record Type` as string)) &lt;&gt; '' /* schema:file_level, valid:no_match, datafiles:match, db:column_match */</t>
  </si>
  <si>
    <t>VAL-01909</t>
  </si>
  <si>
    <t>ERR-REL-01909</t>
  </si>
  <si>
    <t>VAL-00063</t>
  </si>
  <si>
    <t>ERR-REL-00063</t>
  </si>
  <si>
    <t>nonEmployeeTaxIdNumber required — cannot create person_reln without dependent key</t>
  </si>
  <si>
    <t>`&lt;missing_column&gt;` IS NOT NULL AND trim(cast(`&lt;missing_column&gt;` as string)) &lt;&gt; '' /* schema:file_level, valid:no_match, datafiles:check, db:check_mapping */</t>
  </si>
  <si>
    <t>Need input for rule definition</t>
  </si>
  <si>
    <t>Rejects missing nonEmployeeTaxIdNumber.</t>
  </si>
  <si>
    <t>Current implemented L4 config</t>
  </si>
  <si>
    <t>/Users/sremenon/biq-repos/biq-data-load-file-ingestion-processor/config/business_rules.yaml / /Users/sremenon/biq-repos/biq-data-load-file-ingestion-processor/utils/l4_business_rules.py</t>
  </si>
  <si>
    <t>NO TARGET COLUMN</t>
  </si>
  <si>
    <t>The source rule does not identify a schema column or schema path.</t>
  </si>
  <si>
    <t>VAL-02831</t>
  </si>
  <si>
    <t>ERR-EMP-02831</t>
  </si>
  <si>
    <t>Employment file load priority/requiredness must follow Standard Files: priority=2, requiredness=Required.</t>
  </si>
  <si>
    <t>Conversion planning; Removed non-schema Column Name values: Standard Files metadata.</t>
  </si>
  <si>
    <t>Standard Files</t>
  </si>
  <si>
    <t>VAL-02884</t>
  </si>
  <si>
    <t>ERR-EMP-02884</t>
  </si>
  <si>
    <t>SmartDEV file load priority/requiredness must follow Standard Files: priority=3, requiredness=Optional.</t>
  </si>
  <si>
    <t>VAL-02979</t>
  </si>
  <si>
    <t>ERR-EMP-02979</t>
  </si>
  <si>
    <t>For members in scope, the conversion Employment file must include the required historical event set, not only the current row.</t>
  </si>
  <si>
    <t>Validation List Field/Area: Detail Record. | Complete employment history for conversion | Applies to: Conversion; file scope: Full File. | New conversion rule; expected-history source must be defined.</t>
  </si>
  <si>
    <t>Validations List.xlsx::Employment::VAL0261</t>
  </si>
  <si>
    <t>VAL0261</t>
  </si>
  <si>
    <t>ERR-EMP-061</t>
  </si>
  <si>
    <t>VAL-02960</t>
  </si>
  <si>
    <t>ERR-EMP-02960</t>
  </si>
  <si>
    <t>Configured employment attributes must contain valid values</t>
  </si>
  <si>
    <t>`&lt;missing_column&gt;` IS NULL OR trim(cast(`&lt;missing_column&gt;` as string)) &lt;&gt; '' /* schema:file_level, valid:no_match, datafiles:check, db:check_mapping */</t>
  </si>
  <si>
    <t>Validation List Field/Area: Employment attributes. | Invalid employment attribute value. One or more fields do not match configured valid values. | Applies to: Both; file scope: Both. | Mapped to configured code/reference checks; individual lists still depend on approved reference data.</t>
  </si>
  <si>
    <t>Validations List.xlsx::Employment::VAL0209</t>
  </si>
  <si>
    <t>VAL0209</t>
  </si>
  <si>
    <t>ERR-EMP-009</t>
  </si>
  <si>
    <t>VAL-00053</t>
  </si>
  <si>
    <t>ERR-PER-00053</t>
  </si>
  <si>
    <t>Subscriber vs dependent classification — personType must match relationship context</t>
  </si>
  <si>
    <t>Rejects missing/invalid personType; must be EMPLOYEE or NONEMPLOYEE.</t>
  </si>
  <si>
    <t>VAL-00054</t>
  </si>
  <si>
    <t>ERR-PER-00054</t>
  </si>
  <si>
    <t>Blank child collections (addresses, emails, phones) normalized — empty arrays do not create rows in HBE</t>
  </si>
  <si>
    <t>Removes blank address/email/phone child objects; outcome FIX.</t>
  </si>
  <si>
    <t>VAL-00057</t>
  </si>
  <si>
    <t>ERR-PER-00057</t>
  </si>
  <si>
    <t>Person address count validation</t>
  </si>
  <si>
    <t>Rejects person with zero addresses; config says WARN but code emits REJECT for count=0.</t>
  </si>
  <si>
    <t>VAL-00058</t>
  </si>
  <si>
    <t>ERR-PER-00058</t>
  </si>
  <si>
    <t>Person child collection count mismatch</t>
  </si>
  <si>
    <t>Warns when expected address count is supplied and does not match actual.</t>
  </si>
  <si>
    <t>VAL-00059</t>
  </si>
  <si>
    <t>ERR-EMP-00059</t>
  </si>
  <si>
    <t>Orphan employment — parent Person must exist before Employment can be written</t>
  </si>
  <si>
    <t>Rejects employment if parent Person is not found for employeeId/cycle/org.</t>
  </si>
  <si>
    <t>VAL-00061</t>
  </si>
  <si>
    <t>ERR-EMP-00061</t>
  </si>
  <si>
    <t>Date validation — effectiveDate and pshbEligibilityEffectiveDate must be between 1900 and 2036</t>
  </si>
  <si>
    <t>Rejects effectiveDate or pshbEligibilityEffectiveDate outside 1900-01-01 through 2036-12-31 or invalid YYYY-MM-DD.</t>
  </si>
  <si>
    <t>VAL-00065</t>
  </si>
  <si>
    <t>ERR-REL-00065</t>
  </si>
  <si>
    <t>Orphan relationship — parent Person must exist before Relationship can be written</t>
  </si>
  <si>
    <t>Rejects relationship if parent Person is not found for employeeId/cycle/org.</t>
  </si>
  <si>
    <t>VAL-00055</t>
  </si>
  <si>
    <t>ERR-PER-00055</t>
  </si>
  <si>
    <t>Duplicate person detection — employeeId already exists for cycle + org</t>
  </si>
  <si>
    <t>Disable for initial full loads where duplicates are expected</t>
  </si>
  <si>
    <t>VAL-00062</t>
  </si>
  <si>
    <t>ERR-EMP-00062</t>
  </si>
  <si>
    <t>Duplicate employment — employeeId already has employment record for cycle + org</t>
  </si>
  <si>
    <t>Disable for initial full loads</t>
  </si>
  <si>
    <t>VAL-00066</t>
  </si>
  <si>
    <t>ERR-REL-00066</t>
  </si>
  <si>
    <t>Duplicate relationship — same employeeId + nonEmployeeTaxIdNumber + relationship already exists</t>
  </si>
  <si>
    <t>VAL-02832</t>
  </si>
  <si>
    <t>ERR-EMP-02832</t>
  </si>
  <si>
    <t>Honor workbook file-consideration rules for population, natural key, latest-record behavior, and header/detail/footer expectations.</t>
  </si>
  <si>
    <t>Removed non-schema Column Name values: Domain file.</t>
  </si>
  <si>
    <t>- Population in this file must exist on personal file in order for records to get loaded in BIQ; - File must incldue all historical employment records for all active members (employees); - When multiple records received for the same individual and the same job, load the latest record appearing on the file; - File must have a header, detail, and footer row;; - File must include one record per individual per effective date; - File must include one record indicating active status at the least; and one record indicating inactive status if a member (employee) is terminated; - When multiple records received with varing effective dates, all records get loaded into BIQ if one or more data is different between those records in addition to effective date being different; - Population in this file must exist on personal file in order for records to get loa...</t>
  </si>
  <si>
    <t>VAL-02976</t>
  </si>
  <si>
    <t>ERR-EMP-02976</t>
  </si>
  <si>
    <t>Each ongoing full Employment file should contain the complete agreed current employment snapshot or history slice for the in-scope population, not only changed rows.</t>
  </si>
  <si>
    <t>Validation List Field/Area: File. | Ongoing full employment snapshot completeness | Applies to: Ongoing; file scope: Full File. | New file-level rule; implementation needs the expected snapshot population.</t>
  </si>
  <si>
    <t>Validations List.xlsx::Employment::VAL0250</t>
  </si>
  <si>
    <t>VAL0250</t>
  </si>
  <si>
    <t>ERR-EMP-050</t>
  </si>
  <si>
    <t>VAL-00064</t>
  </si>
  <si>
    <t>ERR-REL-00064</t>
  </si>
  <si>
    <t>Relationship code crosswalk — must be SP, C, DP, P, SB, or O</t>
  </si>
  <si>
    <t>Rejects relationship not in SP, C, DP, P, SB, O.</t>
  </si>
  <si>
    <t>VAL-02835</t>
  </si>
  <si>
    <t>ERR-EMP-02835</t>
  </si>
  <si>
    <t>Period Begin Date must be on or before Period End Date; both dates must align to the file period and conversion cycle.</t>
  </si>
  <si>
    <t>Removed non-schema Column Name values: Period Begin Date, Period End Date.</t>
  </si>
  <si>
    <t>Workbook date fields</t>
  </si>
  <si>
    <t>VAL-02830</t>
  </si>
  <si>
    <t>ERR-PER-02830</t>
  </si>
  <si>
    <t>Address Type, Country, Country Code, Create Timestamp, Disability Status, Disability Status Effective Date, Email Type, Employer Code, File Name, File Type, Foreign Address Line, Job Type</t>
  </si>
  <si>
    <t>Coded fields must resolve to valid target crosswalk/reference values: Address Type, Country, Country Code, Create Timestamp, Disability Status, Disability Status Effective Date, Email Type, Employer Code, File Name, File Type, Foreign Address Line, Job Type.</t>
  </si>
  <si>
    <t>`Address Type, Country, Country Code, Create Timestamp, Disability Status, Disability Status Effective Date, Email Type, Employer Code, File Name, File Type, Foreign Address Line, Job Type` IS NULL OR trim(cast(`Address Type, Country, Country Code, Create Timestamp, Disability Status, Disability Status Effective Date, Email Type, Employer Code, File Name, File Type, Foreign Address Line, Job Type` as string)) &lt;&gt; '' /* schema:file_level, valid:no_match, datafiles:match, db:column_match */</t>
  </si>
  <si>
    <t>Mapped: addresses[].addressType, addresses[].country, phones[].countryCode, disabilityStatus, disabilityStatusEffectiveDate, emails[].emailType, employerCode, sourceFileName, addresses[].foreignAddressLine, jobType; not in approved Person schema: Create Timestamp, File Type.</t>
  </si>
  <si>
    <t>≤ 2 characters; ≤ 6 characters; 1-4 characters; ≤ 255 characters; ≤ 500 characters</t>
  </si>
  <si>
    <t>H, W, A; W, P, A; FT, PT</t>
  </si>
  <si>
    <t>Reference Table / target code tables</t>
  </si>
  <si>
    <t>MIXED SCHEMA MAPPING</t>
  </si>
  <si>
    <t>VAL-02855</t>
  </si>
  <si>
    <t>ERR-REL-02855</t>
  </si>
  <si>
    <t>Address Type, Country, Country Code, Create Timestamp, Email Type, Employer Code, File Name, File Type, Foreign Address Line, Non Employee Tax ID Number, Non Employee Tax ID Type, Person Type</t>
  </si>
  <si>
    <t>Coded fields must resolve to valid target crosswalk/reference values: Address Type, Country, Country Code, Create Timestamp, Email Type, Employer Code, File Name, File Type, Foreign Address Line, NonEmployee Tax ID Number, NonEmployee Tax ID Type, Person Type.</t>
  </si>
  <si>
    <t>`Address Type, Country, Country Code, Create Timestamp, Email Type, Employer Code, File Name, File Type, Foreign Address Line, Non Employee Tax ID Number, Non Employee Tax ID Type, Person Type` IS NULL OR trim(cast(`Address Type, Country, Country Code, Create Timestamp, Email Type, Employer Code, File Name, File Type, Foreign Address Line, Non Employee Tax ID Number, Non Employee Tax ID Type, Person Type` as string)) &lt;&gt; '' /* schema:file_level, valid:no_match, datafiles:match, db:column_match */</t>
  </si>
  <si>
    <t>Mapped: relatedPerson.addresses[].addressType, relatedPerson.addresses[].country, relatedPerson.phones[].countryCode, relatedPerson.emails[].emailType, employerCode, sourceFileName, relatedPerson.addresses[].foreignAddressLine, relatedPerson.nonEmployeeTaxIdNumber, relatedPerson.nonEmployeeTaxIdType, relatedPerson.personType; not in approved Relationship schema: Create Timestamp, File Type.</t>
  </si>
  <si>
    <t>≤ 2 characters; ≤ 6 characters; 1-4 characters; ≤ 255 characters; ≤ 500 characters; 9-256 characters</t>
  </si>
  <si>
    <t>H, W, A; W, P, A; SSN, ITIN; NONEMPLOYEE</t>
  </si>
  <si>
    <t>VAL-02886</t>
  </si>
  <si>
    <t>ERR-REL-02886</t>
  </si>
  <si>
    <t>Address Type, Country, Create Timestamp, Employee Tax ID Number, Employee Tax ID Type, Employer Code, File Name, File Type, Foreign Address Line, Non Employee Tax ID Number, Non Employee Tax ID Type, Person Type</t>
  </si>
  <si>
    <t>Coded fields must resolve to valid target crosswalk/reference values: Address Type, Country, Create Timestamp, Employee Tax ID Number, Employee Tax ID Type, Employer Code, File Name, File Type, Foreign Address Line, NonEmployee Tax ID Number, NonEmployee Tax ID Type, Person Type.</t>
  </si>
  <si>
    <t>`Address Type, Country, Create Timestamp, Employee Tax ID Number, Employee Tax ID Type, Employer Code, File Name, File Type, Foreign Address Line, Non Employee Tax ID Number, Non Employee Tax ID Type, Person Type` IS NULL OR trim(cast(`Address Type, Country, Create Timestamp, Employee Tax ID Number, Employee Tax ID Type, Employer Code, File Name, File Type, Foreign Address Line, Non Employee Tax ID Number, Non Employee Tax ID Type, Person Type` as string)) &lt;&gt; '' /* schema:file_level, valid:no_match, datafiles:match, db:column_match */</t>
  </si>
  <si>
    <t>Mapped: relatedPerson.addresses[].addressType, relatedPerson.addresses[].country, employerCode, sourceFileName, relatedPerson.addresses[].foreignAddressLine, relatedPerson.nonEmployeeTaxIdNumber, relatedPerson.nonEmployeeTaxIdType, relatedPerson.personType; not in approved Relationship schema: Create Timestamp, Employee Tax ID Number, Employee Tax ID Type, File Type.</t>
  </si>
  <si>
    <t>≤ 2 characters; 1-4 characters; ≤ 255 characters; ≤ 500 characters; 9-256 characters</t>
  </si>
  <si>
    <t>H, W, A; SSN, ITIN; NONEMPLOYEE</t>
  </si>
  <si>
    <t>VAL-02938</t>
  </si>
  <si>
    <t>ERR-PER-02938</t>
  </si>
  <si>
    <t>Address/email Fields, DOB, Gender, Name, SSN</t>
  </si>
  <si>
    <t>Personal demographic fields in SmartDEV should not conflict with Person file values for same employee and cycle.</t>
  </si>
  <si>
    <t>`Address/email Fields, DOB, Gender, Name, SSN` IS NULL OR trim(cast(`Address/email Fields, DOB, Gender, Name, SSN` as string)) &lt;&gt; '' /* schema:file_level, valid:no_match, datafiles:check, db:column_match */</t>
  </si>
  <si>
    <t>Mapped: gender; not in approved Person schema: Address/email Fields, DOB, Name, SSN.</t>
  </si>
  <si>
    <t>VAL-02913</t>
  </si>
  <si>
    <t>ERR-REL-02913</t>
  </si>
  <si>
    <t>Date of Birth, First Name, Last Name, Tax ID Fields</t>
  </si>
  <si>
    <t>Related person's name, date of birth, tax ID, and person type must not conflict with existing Person/Relationship rows.</t>
  </si>
  <si>
    <t>`Date of Birth, First Name, Last Name, Tax ID Fields` IS NULL OR trim(cast(`Date of Birth, First Name, Last Name, Tax ID Fields` as string)) &lt;&gt; '' /* schema:file_level, valid:no_match, datafiles:check, db:column_match */</t>
  </si>
  <si>
    <t>Mapped: relatedPerson.dateOfBirth, relatedPerson.firstName, relatedPerson.lastName; not in approved Relationship schema: Tax ID Fields.</t>
  </si>
  <si>
    <t>1-50 characters; 1-100 characters</t>
  </si>
  <si>
    <t>VAL-02853</t>
  </si>
  <si>
    <t>ERR-REL-02853</t>
  </si>
  <si>
    <t>Domain File</t>
  </si>
  <si>
    <t>`Domain File` IS NULL OR trim(cast(`Domain File` as string)) &lt;&gt; '' /* schema:file_level, valid:no_match, datafiles:check, db:column_match */</t>
  </si>
  <si>
    <t>Not present in the approved Relationship schema: Domain File.</t>
  </si>
  <si>
    <t>- File must include one record per individual per relationship; - File must have a header, detail, and footer row;</t>
  </si>
  <si>
    <t>VAL-02936</t>
  </si>
  <si>
    <t>ERR-PER-02936</t>
  </si>
  <si>
    <t>Employee ID, Personal Fields</t>
  </si>
  <si>
    <t>SmartDEV rows with Personal-related fields must link to an existing or same-file Person identity for Employee ID/employer.</t>
  </si>
  <si>
    <t>`Employee ID, Personal Fields` IS NULL OR trim(cast(`Employee ID, Personal Fields` as string)) &lt;&gt; '' /* schema:file_level, valid:no_match, datafiles:check, db:column_match */</t>
  </si>
  <si>
    <t>Mapped: employeeUniqueId; not in approved Person schema: Personal Fields.</t>
  </si>
  <si>
    <t>SmartDEV related sheet column</t>
  </si>
  <si>
    <t>VAL-02911</t>
  </si>
  <si>
    <t>ERR-REL-02911</t>
  </si>
  <si>
    <t>Employee Tax ID, Non Employee Tax ID Number</t>
  </si>
  <si>
    <t>Employee and related person cannot have the same tax ID/person key unless relationship type explicitly allows self-reference.</t>
  </si>
  <si>
    <t>`Employee Tax ID, Non Employee Tax ID Number` IS NULL OR trim(cast(`Employee Tax ID, Non Employee Tax ID Number` as string)) &lt;&gt; '' /* schema:file_level, valid:no_match, datafiles:match, db:column_match */</t>
  </si>
  <si>
    <t>Mapped: relatedPerson.nonEmployeeTaxIdNumber; not in approved Relationship schema: Employee Tax ID.</t>
  </si>
  <si>
    <t>Relationship integrity</t>
  </si>
  <si>
    <t>VAL-02829</t>
  </si>
  <si>
    <t>ERR-PER-02829</t>
  </si>
  <si>
    <t>Period Begin Date, Period End Date</t>
  </si>
  <si>
    <t>`Period Begin Date, Period End Date` IS NULL OR trim(cast(`Period Begin Date, Period End Date` as string)) &lt;&gt; '' /* schema:file_level, valid:no_match, datafiles:match, db:column_match */</t>
  </si>
  <si>
    <t>Not present in the approved Person schema: Period Begin Date, Period End Date.</t>
  </si>
  <si>
    <t>VAL-02854</t>
  </si>
  <si>
    <t>ERR-REL-02854</t>
  </si>
  <si>
    <t>Not present in the approved Relationship schema: Period Begin Date, Period End Date.</t>
  </si>
  <si>
    <t>VAL-02852</t>
  </si>
  <si>
    <t>ERR-REL-02852</t>
  </si>
  <si>
    <t>Standard Files Metadata</t>
  </si>
  <si>
    <t>Relationship file load priority/requiredness must follow Standard Files: priority=3, requiredness=Optional.</t>
  </si>
  <si>
    <t>`Standard Files Metadata` IS NOT NULL AND trim(cast(`Standard Files Metadata` as string)) &lt;&gt; '' /* schema:file_level, valid:no_match, datafiles:check, db:check_mapping */</t>
  </si>
  <si>
    <t>Not present in the approved Relationship schema: Standard Files Metadata.</t>
  </si>
  <si>
    <t>Conversion planning</t>
  </si>
  <si>
    <t>ERR-PER-02884</t>
  </si>
  <si>
    <t>Not present in the approved Person schema: Standard Files Metadata.</t>
  </si>
  <si>
    <t>ERR-REL-02884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</si>
</sst>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8"/>
      <color rgb="FFFFFFFF"/>
      <name val="Aptos Display"/>
    </font>
    <font>
      <i/>
      <sz val="10"/>
      <color rgb="FF5E6B70"/>
      <name val="Aptos"/>
    </font>
    <font>
      <b/>
      <sz val="10"/>
      <color rgb="FFFFFFFF"/>
      <name val="Aptos Display"/>
    </font>
    <font>
      <b/>
      <sz val="11"/>
      <color rgb="FF243238"/>
      <name val="Carlito"/>
    </font>
    <font>
      <b/>
      <sz val="11"/>
      <color rgb="FFFFFFFF"/>
      <name val="Aptos Display"/>
    </font>
    <font>
      <sz val="10"/>
      <color rgb="FF243238"/>
      <name val="Aptos"/>
    </font>
    <font>
      <b/>
      <sz val="10"/>
      <color rgb="FF243238"/>
      <name val="Aptos"/>
    </font>
    <font>
      <sz val="10"/>
      <name val="Aptos"/>
    </font>
    <font>
      <sz val="10"/>
      <color rgb="FFFF0000"/>
      <name val="Aptos"/>
    </font>
    <font>
      <sz val="10"/>
      <color rgb="FF000000"/>
      <name val="Aptos"/>
    </font>
    <font>
      <sz val="10"/>
      <color rgb="FFFF0000"/>
      <name val="Courier New"/>
    </font>
    <font>
      <sz val="10"/>
      <color rgb="FF243238"/>
      <name val="Aptos"/>
      <charset val="1"/>
    </font>
  </fonts>
  <fills count="8">
    <fill>
      <patternFill patternType="none"/>
    </fill>
    <fill>
      <patternFill patternType="gray125"/>
    </fill>
    <fill>
      <patternFill patternType="solid">
        <fgColor rgb="FF083F46"/>
      </patternFill>
    </fill>
    <fill>
      <patternFill patternType="solid">
        <fgColor rgb="FF0B5D66"/>
      </patternFill>
    </fill>
    <fill>
      <patternFill patternType="solid">
        <fgColor rgb="FFDCECEF"/>
      </patternFill>
    </fill>
    <fill>
      <patternFill patternType="solid">
        <fgColor rgb="FF0B5D66"/>
        <bgColor rgb="FF000000"/>
      </patternFill>
    </fill>
    <fill>
      <patternFill patternType="solid">
        <fgColor rgb="FFFFFFFF"/>
        <bgColor rgb="FF000000"/>
      </patternFill>
    </fill>
    <fill>
      <patternFill patternType="solid">
        <fgColor theme="5" tint="0.79998168889431442"/>
        <bgColor indexed="64"/>
      </patternFill>
    </fill>
  </fills>
  <borders count="8">
    <border>
      <left/>
      <right/>
      <top/>
      <bottom/>
      <diagonal/>
    </border>
    <border>
      <left/>
      <right/>
      <top style="thin">
        <color rgb="FFD8E0E2"/>
      </top>
      <bottom style="thin">
        <color rgb="FFD8E0E2"/>
      </bottom>
      <diagonal/>
    </border>
    <border>
      <left/>
      <right style="thin">
        <color rgb="FFD8E0E2"/>
      </right>
      <top style="thin">
        <color rgb="FFD8E0E2"/>
      </top>
      <bottom style="thin">
        <color rgb="FFD8E0E2"/>
      </bottom>
      <diagonal/>
    </border>
    <border>
      <left style="thin">
        <color rgb="FFD8E0E2"/>
      </left>
      <right style="thin">
        <color rgb="FFD8E0E2"/>
      </right>
      <top style="thin">
        <color rgb="FFD8E0E2"/>
      </top>
      <bottom style="thin">
        <color rgb="FFD8E0E2"/>
      </bottom>
      <diagonal/>
    </border>
    <border>
      <left/>
      <right style="thin">
        <color rgb="FFD8E0E2"/>
      </right>
      <top/>
      <bottom style="thin">
        <color rgb="FFD8E0E2"/>
      </bottom>
      <diagonal/>
    </border>
    <border>
      <left style="thin">
        <color rgb="FFD8E0E2"/>
      </left>
      <right style="thin">
        <color rgb="FFD8E0E2"/>
      </right>
      <top style="thin">
        <color rgb="FFD8E0E2"/>
      </top>
      <bottom/>
      <diagonal/>
    </border>
    <border>
      <left/>
      <right style="thin">
        <color rgb="FFD8E0E2"/>
      </right>
      <top/>
      <bottom/>
      <diagonal/>
    </border>
    <border>
      <left/>
      <right style="thin">
        <color rgb="FFD8E0E2"/>
      </right>
      <top style="thin">
        <color rgb="FFD8E0E2"/>
      </top>
      <bottom/>
      <diagonal/>
    </border>
  </borders>
  <cellStyleXfs count="1">
    <xf numFmtId="0" fontId="0" fillId="0" borderId="0"/>
  </cellStyleXfs>
  <cellXfs count="41">
    <xf numFmtId="0" fontId="0" fillId="0" borderId="0" xfId="0"/>
    <xf numFmtId="0" fontId="3" fillId="3" borderId="3" xfId="0" applyFont="1" applyFill="1" applyBorder="1" applyAlignment="1">
      <alignment vertical="center" wrapText="1"/>
    </xf>
    <xf numFmtId="0" fontId="8" fillId="0" borderId="3" xfId="0" applyFont="1" applyBorder="1" applyAlignment="1">
      <alignment vertical="top" wrapText="1"/>
    </xf>
    <xf numFmtId="0" fontId="0" fillId="0" borderId="3" xfId="0" applyBorder="1" applyAlignment="1">
      <alignment vertical="top" wrapText="1"/>
    </xf>
    <xf numFmtId="0" fontId="4" fillId="4" borderId="3" xfId="0" applyFont="1" applyFill="1" applyBorder="1" applyAlignment="1">
      <alignment vertical="top" wrapText="1"/>
    </xf>
    <xf numFmtId="0" fontId="3" fillId="3" borderId="3" xfId="0" applyFont="1" applyFill="1" applyBorder="1" applyAlignment="1">
      <alignment wrapText="1"/>
    </xf>
    <xf numFmtId="0" fontId="0" fillId="0" borderId="3" xfId="0" applyBorder="1" applyAlignment="1">
      <alignment vertical="top"/>
    </xf>
    <xf numFmtId="0" fontId="4" fillId="4" borderId="3" xfId="0" applyFont="1" applyFill="1" applyBorder="1" applyAlignment="1">
      <alignment vertical="top"/>
    </xf>
    <xf numFmtId="0" fontId="6" fillId="0" borderId="3" xfId="0" applyFont="1" applyBorder="1" applyAlignment="1">
      <alignment vertical="top"/>
    </xf>
    <xf numFmtId="0" fontId="3" fillId="5" borderId="3" xfId="0" applyFont="1" applyFill="1" applyBorder="1" applyAlignment="1">
      <alignment wrapText="1"/>
    </xf>
    <xf numFmtId="0" fontId="3" fillId="5" borderId="2" xfId="0" applyFont="1" applyFill="1" applyBorder="1" applyAlignment="1">
      <alignment wrapText="1"/>
    </xf>
    <xf numFmtId="0" fontId="6" fillId="0" borderId="3" xfId="0" applyFont="1" applyBorder="1" applyAlignment="1">
      <alignment wrapText="1"/>
    </xf>
    <xf numFmtId="0" fontId="7" fillId="0" borderId="3" xfId="0" applyFont="1" applyBorder="1" applyAlignment="1">
      <alignment wrapText="1"/>
    </xf>
    <xf numFmtId="0" fontId="6" fillId="0" borderId="4" xfId="0" applyFont="1" applyBorder="1"/>
    <xf numFmtId="0" fontId="9" fillId="0" borderId="3" xfId="0" applyFont="1" applyBorder="1" applyAlignment="1">
      <alignment wrapText="1"/>
    </xf>
    <xf numFmtId="0" fontId="10" fillId="0" borderId="3" xfId="0" applyFont="1" applyBorder="1" applyAlignment="1">
      <alignment wrapText="1"/>
    </xf>
    <xf numFmtId="0" fontId="11" fillId="0" borderId="0" xfId="0" applyFont="1" applyAlignment="1">
      <alignment wrapText="1"/>
    </xf>
    <xf numFmtId="0" fontId="12" fillId="0" borderId="0" xfId="0" applyFont="1"/>
    <xf numFmtId="14" fontId="6" fillId="0" borderId="3" xfId="0" applyNumberFormat="1" applyFont="1" applyBorder="1" applyAlignment="1">
      <alignment wrapText="1"/>
    </xf>
    <xf numFmtId="0" fontId="6" fillId="0" borderId="5" xfId="0" applyFont="1" applyBorder="1" applyAlignment="1">
      <alignment wrapText="1"/>
    </xf>
    <xf numFmtId="0" fontId="6" fillId="0" borderId="6" xfId="0" applyFont="1" applyBorder="1"/>
    <xf numFmtId="0" fontId="6" fillId="0" borderId="7" xfId="0" applyFont="1" applyBorder="1"/>
    <xf numFmtId="0" fontId="6" fillId="0" borderId="0" xfId="0" applyFont="1" applyAlignment="1">
      <alignment vertical="top"/>
    </xf>
    <xf numFmtId="0" fontId="6" fillId="0" borderId="3" xfId="0" applyFont="1" applyBorder="1"/>
    <xf numFmtId="0" fontId="6" fillId="6" borderId="3" xfId="0" applyFont="1" applyFill="1" applyBorder="1" applyAlignment="1">
      <alignment wrapText="1"/>
    </xf>
    <xf numFmtId="0" fontId="7" fillId="6" borderId="3" xfId="0" applyFont="1" applyFill="1" applyBorder="1" applyAlignment="1">
      <alignment wrapText="1"/>
    </xf>
    <xf numFmtId="0" fontId="6" fillId="6" borderId="3" xfId="0" applyFont="1" applyFill="1" applyBorder="1"/>
    <xf numFmtId="0" fontId="6" fillId="6" borderId="4" xfId="0" applyFont="1" applyFill="1" applyBorder="1"/>
    <xf numFmtId="0" fontId="6" fillId="0" borderId="3" xfId="0" quotePrefix="1" applyFont="1" applyBorder="1" applyAlignment="1">
      <alignment wrapText="1"/>
    </xf>
    <xf numFmtId="0" fontId="6" fillId="7" borderId="3" xfId="0" applyFont="1" applyFill="1" applyBorder="1" applyAlignment="1">
      <alignment wrapText="1"/>
    </xf>
    <xf numFmtId="0" fontId="7" fillId="7" borderId="3" xfId="0" applyFont="1" applyFill="1" applyBorder="1" applyAlignment="1">
      <alignment wrapText="1"/>
    </xf>
    <xf numFmtId="0" fontId="6" fillId="7" borderId="3" xfId="0" applyFont="1" applyFill="1" applyBorder="1"/>
    <xf numFmtId="0" fontId="6" fillId="7" borderId="4" xfId="0" applyFont="1" applyFill="1" applyBorder="1"/>
    <xf numFmtId="0" fontId="0" fillId="0" borderId="3" xfId="0" applyBorder="1" applyAlignment="1">
      <alignment vertical="top" wrapText="1"/>
    </xf>
    <xf numFmtId="0" fontId="4" fillId="4" borderId="3" xfId="0" applyFont="1" applyFill="1" applyBorder="1" applyAlignment="1">
      <alignment vertical="top" wrapText="1"/>
    </xf>
    <xf numFmtId="0" fontId="1" fillId="2" borderId="0" xfId="0" applyFont="1" applyFill="1" applyAlignment="1"/>
    <xf numFmtId="0" fontId="0" fillId="0" borderId="0" xfId="0" applyAlignment="1"/>
    <xf numFmtId="0" fontId="2" fillId="0" borderId="0" xfId="0" applyFont="1" applyAlignment="1"/>
    <xf numFmtId="0" fontId="5" fillId="3" borderId="0" xfId="0" applyFont="1" applyFill="1" applyAlignment="1"/>
    <xf numFmtId="0" fontId="0" fillId="0" borderId="1" xfId="0" applyBorder="1" applyAlignment="1"/>
    <xf numFmtId="0" fontId="0" fillId="0" borderId="2" xfId="0" applyBorder="1" applyAlignment="1"/>
  </cellXfs>
  <cellStyles count="1">
    <cellStyle name="Normal" xfId="0" builtinId="0"/>
  </cellStyles>
  <dxfs count="4">
    <dxf>
      <font>
        <b val="0"/>
        <i val="0"/>
        <strike val="0"/>
        <condense val="0"/>
        <extend val="0"/>
        <outline val="0"/>
        <shadow val="0"/>
        <u val="none"/>
        <vertAlign val="baseline"/>
        <sz val="10"/>
        <color rgb="FF243238"/>
        <name val="Aptos"/>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rgb="FFD8E0E2"/>
        </right>
        <top/>
        <bottom style="thin">
          <color rgb="FFD8E0E2"/>
        </bottom>
        <vertical/>
        <horizontal/>
      </border>
    </dxf>
    <dxf>
      <font>
        <color rgb="FF7F6000"/>
      </font>
      <fill>
        <patternFill patternType="solid">
          <bgColor rgb="FFFFF2CC"/>
        </patternFill>
      </fill>
    </dxf>
    <dxf>
      <font>
        <color rgb="FF7F6000"/>
      </font>
      <fill>
        <patternFill patternType="solid">
          <bgColor rgb="FFFFF2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ersonValidationRules" displayName="PersonValidationRules" ref="A1:V194" totalsRowShown="0">
  <autoFilter ref="A1:V194" xr:uid="{00000000-0009-0000-0100-000001000000}"/>
  <sortState xmlns:xlrd2="http://schemas.microsoft.com/office/spreadsheetml/2017/richdata2" ref="A2:V187">
    <sortCondition ref="C1:C187"/>
  </sortState>
  <tableColumns count="22">
    <tableColumn id="1" xr3:uid="{00000000-0010-0000-0000-000001000000}" name="Source System"/>
    <tableColumn id="2" xr3:uid="{00000000-0010-0000-0000-000002000000}" name="Domain"/>
    <tableColumn id="3" xr3:uid="{00000000-0010-0000-0000-000003000000}" name="Validation ID"/>
    <tableColumn id="4" xr3:uid="{00000000-0010-0000-0000-000004000000}" name="Error Code"/>
    <tableColumn id="5" xr3:uid="{00000000-0010-0000-0000-000005000000}" name="Column Name"/>
    <tableColumn id="6" xr3:uid="{00000000-0010-0000-0000-000006000000}" name="Rule Scope"/>
    <tableColumn id="7" xr3:uid="{00000000-0010-0000-0000-000007000000}" name="Rule Category"/>
    <tableColumn id="8" xr3:uid="{00000000-0010-0000-0000-000008000000}" name="Rule Type"/>
    <tableColumn id="9" xr3:uid="{00000000-0010-0000-0000-000009000000}" name="Validation Rule"/>
    <tableColumn id="10" xr3:uid="{00000000-0010-0000-0000-00000A000000}" name="Spark SQL Expression"/>
    <tableColumn id="11" xr3:uid="{00000000-0010-0000-0000-00000B000000}" name="Spark SQL Expressions recommendations"/>
    <tableColumn id="12" xr3:uid="{00000000-0010-0000-0000-00000C000000}" name="SQL Status"/>
    <tableColumn id="13" xr3:uid="{00000000-0010-0000-0000-00000D000000}" name="Review"/>
    <tableColumn id="14" xr3:uid="{00000000-0010-0000-0000-00000E000000}" name="Discussion Reason"/>
    <tableColumn id="15" xr3:uid="{00000000-0010-0000-0000-00000F000000}" name="Data Type"/>
    <tableColumn id="16" xr3:uid="{00000000-0010-0000-0000-000010000000}" name="Length/Range"/>
    <tableColumn id="17" xr3:uid="{00000000-0010-0000-0000-000011000000}" name="Allowed Values"/>
    <tableColumn id="18" xr3:uid="{00000000-0010-0000-0000-000012000000}" name="Severity"/>
    <tableColumn id="19" xr3:uid="{00000000-0010-0000-0000-000013000000}" name="Implementation Status"/>
    <tableColumn id="20" xr3:uid="{00000000-0010-0000-0000-000014000000}" name="Product Error Code"/>
    <tableColumn id="21" xr3:uid="{00000000-0010-0000-0000-000015000000}" name="Product Validation ID"/>
    <tableColumn id="22" xr3:uid="{00000000-0010-0000-0000-000016000000}" name="Product Error Code2"/>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mploymentValidationRules" displayName="EmploymentValidationRules" ref="A1:V185" totalsRowShown="0">
  <autoFilter ref="A1:V185" xr:uid="{00000000-0009-0000-0100-000002000000}"/>
  <tableColumns count="22">
    <tableColumn id="1" xr3:uid="{00000000-0010-0000-0100-000001000000}" name="Source System"/>
    <tableColumn id="2" xr3:uid="{00000000-0010-0000-0100-000002000000}" name="Domain"/>
    <tableColumn id="3" xr3:uid="{00000000-0010-0000-0100-000003000000}" name="Validation ID"/>
    <tableColumn id="4" xr3:uid="{00000000-0010-0000-0100-000004000000}" name="Error Code"/>
    <tableColumn id="5" xr3:uid="{00000000-0010-0000-0100-000005000000}" name="Column Name"/>
    <tableColumn id="6" xr3:uid="{00000000-0010-0000-0100-000006000000}" name="Rule Scope"/>
    <tableColumn id="7" xr3:uid="{00000000-0010-0000-0100-000007000000}" name="Rule Category"/>
    <tableColumn id="8" xr3:uid="{00000000-0010-0000-0100-000008000000}" name="Rule Type"/>
    <tableColumn id="9" xr3:uid="{00000000-0010-0000-0100-000009000000}" name="Validation Rule"/>
    <tableColumn id="10" xr3:uid="{00000000-0010-0000-0100-00000A000000}" name="Spark SQL Expression"/>
    <tableColumn id="11" xr3:uid="{00000000-0010-0000-0100-00000B000000}" name="Spark SQL Expressions recommendations"/>
    <tableColumn id="12" xr3:uid="{00000000-0010-0000-0100-00000C000000}" name="SQL Status"/>
    <tableColumn id="13" xr3:uid="{00000000-0010-0000-0100-00000D000000}" name="Review"/>
    <tableColumn id="14" xr3:uid="{00000000-0010-0000-0100-00000E000000}" name="Discussion Reason"/>
    <tableColumn id="15" xr3:uid="{00000000-0010-0000-0100-00000F000000}" name="Data Type"/>
    <tableColumn id="16" xr3:uid="{00000000-0010-0000-0100-000010000000}" name="Length/Range"/>
    <tableColumn id="17" xr3:uid="{00000000-0010-0000-0100-000011000000}" name="Allowed Values"/>
    <tableColumn id="18" xr3:uid="{00000000-0010-0000-0100-000012000000}" name="Severity"/>
    <tableColumn id="19" xr3:uid="{00000000-0010-0000-0100-000013000000}" name="Implementation Status"/>
    <tableColumn id="20" xr3:uid="{00000000-0010-0000-0100-000014000000}" name="Notes"/>
    <tableColumn id="21" xr3:uid="{00000000-0010-0000-0100-000015000000}" name="Source Detail"/>
    <tableColumn id="22" xr3:uid="{00000000-0010-0000-0100-000016000000}" name="Source Evidenc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lationshipValidationRules" displayName="RelationshipValidationRules" ref="A1:V127" totalsRowShown="0">
  <autoFilter ref="A1:V127" xr:uid="{00000000-0009-0000-0100-000003000000}"/>
  <tableColumns count="22">
    <tableColumn id="1" xr3:uid="{00000000-0010-0000-0200-000001000000}" name="Source System"/>
    <tableColumn id="2" xr3:uid="{00000000-0010-0000-0200-000002000000}" name="Domain"/>
    <tableColumn id="3" xr3:uid="{00000000-0010-0000-0200-000003000000}" name="Validation ID"/>
    <tableColumn id="4" xr3:uid="{00000000-0010-0000-0200-000004000000}" name="Error Code"/>
    <tableColumn id="5" xr3:uid="{00000000-0010-0000-0200-000005000000}" name="Column Name"/>
    <tableColumn id="6" xr3:uid="{00000000-0010-0000-0200-000006000000}" name="Rule Scope"/>
    <tableColumn id="7" xr3:uid="{00000000-0010-0000-0200-000007000000}" name="Rule Category"/>
    <tableColumn id="8" xr3:uid="{00000000-0010-0000-0200-000008000000}" name="Rule Type"/>
    <tableColumn id="9" xr3:uid="{00000000-0010-0000-0200-000009000000}" name="Validation Rule"/>
    <tableColumn id="10" xr3:uid="{00000000-0010-0000-0200-00000A000000}" name="Spark SQL Expression"/>
    <tableColumn id="11" xr3:uid="{00000000-0010-0000-0200-00000B000000}" name="Spark SQL Expressions recommendations"/>
    <tableColumn id="12" xr3:uid="{00000000-0010-0000-0200-00000C000000}" name="SQL Status"/>
    <tableColumn id="13" xr3:uid="{00000000-0010-0000-0200-00000D000000}" name="Review"/>
    <tableColumn id="14" xr3:uid="{00000000-0010-0000-0200-00000E000000}" name="Discussion Reason"/>
    <tableColumn id="15" xr3:uid="{00000000-0010-0000-0200-00000F000000}" name="Data Type"/>
    <tableColumn id="16" xr3:uid="{00000000-0010-0000-0200-000010000000}" name="Length/Range"/>
    <tableColumn id="17" xr3:uid="{00000000-0010-0000-0200-000011000000}" name="Allowed Values"/>
    <tableColumn id="18" xr3:uid="{00000000-0010-0000-0200-000012000000}" name="Severity"/>
    <tableColumn id="19" xr3:uid="{00000000-0010-0000-0200-000013000000}" name="Implementation Status"/>
    <tableColumn id="20" xr3:uid="{00000000-0010-0000-0200-000014000000}" name="Notes"/>
    <tableColumn id="21" xr3:uid="{00000000-0010-0000-0200-000015000000}" name="Source Detail"/>
    <tableColumn id="22" xr3:uid="{00000000-0010-0000-0200-000016000000}" name="Source Evidence"/>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viewedValidationRules" displayName="ReviewedValidationRules" ref="A1:Y116" totalsRowShown="0">
  <autoFilter ref="A1:Y116" xr:uid="{00000000-0009-0000-0100-000004000000}"/>
  <tableColumns count="25">
    <tableColumn id="1" xr3:uid="{00000000-0010-0000-0300-000001000000}" name="Source System"/>
    <tableColumn id="2" xr3:uid="{00000000-0010-0000-0300-000002000000}" name="Domain"/>
    <tableColumn id="3" xr3:uid="{00000000-0010-0000-0300-000003000000}" name="Validation ID"/>
    <tableColumn id="4" xr3:uid="{00000000-0010-0000-0300-000004000000}" name="Error Code"/>
    <tableColumn id="5" xr3:uid="{00000000-0010-0000-0300-000005000000}" name="Column Name"/>
    <tableColumn id="6" xr3:uid="{00000000-0010-0000-0300-000006000000}" name="Rule Scope"/>
    <tableColumn id="7" xr3:uid="{00000000-0010-0000-0300-000007000000}" name="Rule Category"/>
    <tableColumn id="8" xr3:uid="{00000000-0010-0000-0300-000008000000}" name="Rule Type"/>
    <tableColumn id="9" xr3:uid="{00000000-0010-0000-0300-000009000000}" name="Validation Rule"/>
    <tableColumn id="10" xr3:uid="{00000000-0010-0000-0300-00000A000000}" name="Spark SQL Expression"/>
    <tableColumn id="11" xr3:uid="{00000000-0010-0000-0300-00000B000000}" name="Spark SQL Expressions recommendations"/>
    <tableColumn id="12" xr3:uid="{00000000-0010-0000-0300-00000C000000}" name="SQL Status"/>
    <tableColumn id="13" xr3:uid="{00000000-0010-0000-0300-00000D000000}" name="Discussion Reason"/>
    <tableColumn id="14" xr3:uid="{00000000-0010-0000-0300-00000E000000}" name="Data Type"/>
    <tableColumn id="15" xr3:uid="{00000000-0010-0000-0300-00000F000000}" name="Length/Range"/>
    <tableColumn id="16" xr3:uid="{00000000-0010-0000-0300-000010000000}" name="Allowed Values"/>
    <tableColumn id="17" xr3:uid="{00000000-0010-0000-0300-000011000000}" name="Severity"/>
    <tableColumn id="18" xr3:uid="{00000000-0010-0000-0300-000012000000}" name="Implementation Status"/>
    <tableColumn id="19" xr3:uid="{00000000-0010-0000-0300-000013000000}" name="Notes"/>
    <tableColumn id="20" xr3:uid="{00000000-0010-0000-0300-000014000000}" name="Source Detail"/>
    <tableColumn id="21" xr3:uid="{00000000-0010-0000-0300-000015000000}" name="Source Evidence"/>
    <tableColumn id="22" xr3:uid="{00000000-0010-0000-0300-000016000000}" name="Review Classification"/>
    <tableColumn id="23" xr3:uid="{00000000-0010-0000-0300-000017000000}" name="Schema Finding"/>
    <tableColumn id="24" xr3:uid="{00000000-0010-0000-0300-000018000000}" name="Product Validation ID"/>
    <tableColumn id="25" xr3:uid="{BFA9D192-BA3F-4A00-B80F-EFE83C836497}" name="Product Error Code" dataDxfId="0"/>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showGridLines="0" workbookViewId="0">
      <selection activeCell="G6" sqref="G6"/>
    </sheetView>
  </sheetViews>
  <sheetFormatPr defaultRowHeight="14.25" customHeight="1"/>
  <cols>
    <col min="1" max="1" width="24" customWidth="1"/>
    <col min="2" max="2" width="20" customWidth="1"/>
    <col min="3" max="8" width="14" customWidth="1"/>
    <col min="9" max="10" width="20" customWidth="1"/>
    <col min="11" max="11" width="52" customWidth="1"/>
  </cols>
  <sheetData>
    <row r="1" spans="1:11" ht="33.950000000000003" customHeight="1">
      <c r="A1" s="35" t="s">
        <v>0</v>
      </c>
      <c r="B1" s="36"/>
      <c r="C1" s="36"/>
      <c r="D1" s="36"/>
      <c r="E1" s="36"/>
      <c r="F1" s="36"/>
      <c r="G1" s="36"/>
      <c r="H1" s="36"/>
      <c r="I1" s="36"/>
      <c r="J1" s="36"/>
      <c r="K1" s="36"/>
    </row>
    <row r="2" spans="1:11" ht="27.95" customHeight="1">
      <c r="A2" s="37" t="s">
        <v>1</v>
      </c>
      <c r="B2" s="36"/>
      <c r="C2" s="36"/>
      <c r="D2" s="36"/>
      <c r="E2" s="36"/>
      <c r="F2" s="36"/>
      <c r="G2" s="36"/>
      <c r="H2" s="36"/>
      <c r="I2" s="36"/>
      <c r="J2" s="36"/>
      <c r="K2" s="36"/>
    </row>
    <row r="4" spans="1:11" ht="32.1" customHeight="1">
      <c r="A4" s="5" t="s">
        <v>2</v>
      </c>
      <c r="B4" s="5" t="s">
        <v>3</v>
      </c>
      <c r="C4" s="5" t="s">
        <v>4</v>
      </c>
      <c r="D4" s="5" t="s">
        <v>5</v>
      </c>
      <c r="E4" s="5" t="s">
        <v>6</v>
      </c>
      <c r="F4" s="5" t="s">
        <v>7</v>
      </c>
      <c r="G4" s="5" t="s">
        <v>8</v>
      </c>
      <c r="H4" s="5" t="s">
        <v>9</v>
      </c>
      <c r="I4" s="5" t="s">
        <v>10</v>
      </c>
      <c r="J4" s="5" t="s">
        <v>11</v>
      </c>
      <c r="K4" s="5" t="s">
        <v>12</v>
      </c>
    </row>
    <row r="5" spans="1:11" ht="39.950000000000003" customHeight="1">
      <c r="A5" s="6" t="s">
        <v>13</v>
      </c>
      <c r="B5" s="6">
        <f>COUNTA(Person!$C$2:$C$1007)</f>
        <v>193</v>
      </c>
      <c r="C5" s="6">
        <f>COUNTIF(Person!$G$2:$G$1007,"STRUCTURAL")</f>
        <v>187</v>
      </c>
      <c r="D5" s="6">
        <f>COUNTIF(Person!$G$2:$G$1007,"BUSINESS")</f>
        <v>6</v>
      </c>
      <c r="E5" s="6">
        <f>COUNTIF(Person!$L$2:$L$1007,"SQL READY")</f>
        <v>55</v>
      </c>
      <c r="F5" s="6">
        <f>COUNTIF(Person!$L$2:$L$1007,"CUSTOM LOGIC")</f>
        <v>3</v>
      </c>
      <c r="G5" s="6">
        <f>COUNTIF(Person!$L$2:$L$1007,"HANDLED IN JSON VALIDATION")</f>
        <v>62</v>
      </c>
      <c r="H5" s="6">
        <f>COUNTIF(Person!$L$2:$L$1007,"DISCARDED")</f>
        <v>64</v>
      </c>
      <c r="I5" s="6">
        <f>COUNTIF(Person!$L$2:$L$1007,"NEEDS DISCUSSION")</f>
        <v>6</v>
      </c>
      <c r="J5" s="6">
        <f>COUNTIF('Review Needed'!$B$2:$B$997,A5)</f>
        <v>44</v>
      </c>
      <c r="K5" s="3" t="s">
        <v>14</v>
      </c>
    </row>
    <row r="6" spans="1:11" ht="39.950000000000003" customHeight="1">
      <c r="A6" s="6" t="s">
        <v>15</v>
      </c>
      <c r="B6" s="6">
        <f>COUNTA(Employment!$C$2:$C$1005)</f>
        <v>184</v>
      </c>
      <c r="C6" s="6">
        <f>COUNTIF(Employment!$G$2:$G$1005,"STRUCTURAL")</f>
        <v>125</v>
      </c>
      <c r="D6" s="6">
        <f>COUNTIF(Employment!$G$2:$G$1005,"BUSINESS")</f>
        <v>59</v>
      </c>
      <c r="E6" s="6">
        <f>COUNTIF(Employment!$L$2:$L$1005,"SQL READY")</f>
        <v>55</v>
      </c>
      <c r="F6" s="6">
        <f>COUNTIF(Employment!$L$2:$L$1005,"CUSTOM LOGIC")</f>
        <v>0</v>
      </c>
      <c r="G6" s="6">
        <f>COUNTIF(Employment!$L$2:$L$1005,"HANDLED IN JSON VALIDATION")</f>
        <v>63</v>
      </c>
      <c r="H6" s="6">
        <f>COUNTIF(Employment!$L$2:$L$1005,"DISCARDED")</f>
        <v>19</v>
      </c>
      <c r="I6" s="6">
        <f>COUNTIF(Employment!$L$2:$L$1005,"NEEDS DISCUSSION")</f>
        <v>47</v>
      </c>
      <c r="J6" s="6">
        <f>COUNTIF('Review Needed'!$B$2:$B$997,A6)</f>
        <v>10</v>
      </c>
      <c r="K6" s="3" t="s">
        <v>16</v>
      </c>
    </row>
    <row r="7" spans="1:11" ht="39.950000000000003" customHeight="1">
      <c r="A7" s="6" t="s">
        <v>17</v>
      </c>
      <c r="B7" s="6">
        <f>COUNTA(Relationship!$C$2:$C$1000)</f>
        <v>126</v>
      </c>
      <c r="C7" s="6">
        <f>COUNTIF(Relationship!$G$2:$G$1000,"STRUCTURAL")</f>
        <v>123</v>
      </c>
      <c r="D7" s="6">
        <f>COUNTIF(Relationship!$G$2:$G$1000,"BUSINESS")</f>
        <v>3</v>
      </c>
      <c r="E7" s="6">
        <f>COUNTIF(Relationship!$K$2:$K$1000,"SQL READY")</f>
        <v>0</v>
      </c>
      <c r="F7" s="6"/>
      <c r="G7" s="6"/>
      <c r="H7" s="6"/>
      <c r="I7" s="6">
        <f>COUNTIF(Relationship!$K$2:$K$1000,"NEEDS DISCUSSION")</f>
        <v>0</v>
      </c>
      <c r="J7" s="6">
        <f>COUNTIF('Review Needed'!$B$2:$B$997,A7)</f>
        <v>61</v>
      </c>
      <c r="K7" s="3" t="s">
        <v>18</v>
      </c>
    </row>
    <row r="8" spans="1:11" ht="39.950000000000003" customHeight="1">
      <c r="A8" s="7" t="s">
        <v>19</v>
      </c>
      <c r="B8" s="7">
        <f t="shared" ref="B8:J8" si="0">SUM(B5:B7)</f>
        <v>503</v>
      </c>
      <c r="C8" s="7">
        <f t="shared" si="0"/>
        <v>435</v>
      </c>
      <c r="D8" s="7">
        <f t="shared" si="0"/>
        <v>68</v>
      </c>
      <c r="E8" s="7">
        <f t="shared" si="0"/>
        <v>110</v>
      </c>
      <c r="F8" s="7"/>
      <c r="G8" s="7"/>
      <c r="H8" s="7"/>
      <c r="I8" s="7">
        <f t="shared" si="0"/>
        <v>53</v>
      </c>
      <c r="J8" s="7">
        <f t="shared" si="0"/>
        <v>115</v>
      </c>
      <c r="K8" s="4"/>
    </row>
    <row r="11" spans="1:11" ht="14.45" customHeight="1">
      <c r="A11" s="38" t="s">
        <v>20</v>
      </c>
      <c r="B11" s="36"/>
      <c r="C11" s="36"/>
      <c r="D11" s="36"/>
      <c r="E11" s="36"/>
      <c r="F11" s="36"/>
      <c r="G11" s="36"/>
      <c r="H11" s="36"/>
      <c r="I11" s="36"/>
      <c r="J11" s="36"/>
      <c r="K11" s="36"/>
    </row>
    <row r="12" spans="1:11" ht="27.95" customHeight="1">
      <c r="A12" s="4" t="s">
        <v>21</v>
      </c>
      <c r="B12" s="34" t="s">
        <v>22</v>
      </c>
      <c r="C12" s="39"/>
      <c r="D12" s="39"/>
      <c r="E12" s="39"/>
      <c r="F12" s="39"/>
      <c r="G12" s="39"/>
      <c r="H12" s="39"/>
      <c r="I12" s="39"/>
      <c r="J12" s="39"/>
      <c r="K12" s="40"/>
    </row>
    <row r="13" spans="1:11" ht="38.1" customHeight="1">
      <c r="A13" s="3" t="s">
        <v>23</v>
      </c>
      <c r="B13" s="33" t="s">
        <v>24</v>
      </c>
      <c r="C13" s="39"/>
      <c r="D13" s="39"/>
      <c r="E13" s="39"/>
      <c r="F13" s="39"/>
      <c r="G13" s="39"/>
      <c r="H13" s="39"/>
      <c r="I13" s="39"/>
      <c r="J13" s="39"/>
      <c r="K13" s="40"/>
    </row>
    <row r="14" spans="1:11" ht="38.1" customHeight="1">
      <c r="A14" s="3" t="s">
        <v>25</v>
      </c>
      <c r="B14" s="33" t="s">
        <v>26</v>
      </c>
      <c r="C14" s="39"/>
      <c r="D14" s="39"/>
      <c r="E14" s="39"/>
      <c r="F14" s="39"/>
      <c r="G14" s="39"/>
      <c r="H14" s="39"/>
      <c r="I14" s="39"/>
      <c r="J14" s="39"/>
      <c r="K14" s="40"/>
    </row>
    <row r="15" spans="1:11" ht="38.1" customHeight="1">
      <c r="A15" s="3" t="s">
        <v>27</v>
      </c>
      <c r="B15" s="33" t="s">
        <v>28</v>
      </c>
      <c r="C15" s="39"/>
      <c r="D15" s="39"/>
      <c r="E15" s="39"/>
      <c r="F15" s="39"/>
      <c r="G15" s="39"/>
      <c r="H15" s="39"/>
      <c r="I15" s="39"/>
      <c r="J15" s="39"/>
      <c r="K15" s="40"/>
    </row>
    <row r="16" spans="1:11" ht="38.1" customHeight="1">
      <c r="A16" s="3" t="s">
        <v>29</v>
      </c>
      <c r="B16" s="33" t="s">
        <v>30</v>
      </c>
      <c r="C16" s="39"/>
      <c r="D16" s="39"/>
      <c r="E16" s="39"/>
      <c r="F16" s="39"/>
      <c r="G16" s="39"/>
      <c r="H16" s="39"/>
      <c r="I16" s="39"/>
      <c r="J16" s="39"/>
      <c r="K16" s="40"/>
    </row>
    <row r="17" spans="1:11" ht="38.1" customHeight="1">
      <c r="A17" s="3" t="s">
        <v>31</v>
      </c>
      <c r="B17" s="33" t="s">
        <v>32</v>
      </c>
      <c r="C17" s="39"/>
      <c r="D17" s="39"/>
      <c r="E17" s="39"/>
      <c r="F17" s="39"/>
      <c r="G17" s="39"/>
      <c r="H17" s="39"/>
      <c r="I17" s="39"/>
      <c r="J17" s="39"/>
      <c r="K17" s="40"/>
    </row>
  </sheetData>
  <mergeCells count="9">
    <mergeCell ref="A1:K1"/>
    <mergeCell ref="B14:K14"/>
    <mergeCell ref="B17:K17"/>
    <mergeCell ref="B13:K13"/>
    <mergeCell ref="A2:K2"/>
    <mergeCell ref="B12:K12"/>
    <mergeCell ref="B16:K16"/>
    <mergeCell ref="A11:K11"/>
    <mergeCell ref="B15:K15"/>
  </mergeCells>
  <conditionalFormatting sqref="E5:H8">
    <cfRule type="cellIs" dxfId="3" priority="1" operator="greaterThanOrEqual">
      <formula>1</formula>
    </cfRule>
  </conditionalFormatting>
  <conditionalFormatting sqref="I5:J8">
    <cfRule type="cellIs" dxfId="2" priority="2" operator="greaterThanOrEqual">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94"/>
  <sheetViews>
    <sheetView showGridLines="0" topLeftCell="S1" workbookViewId="0">
      <pane ySplit="1" topLeftCell="G172" activePane="bottomLeft" state="frozen"/>
      <selection pane="bottomLeft" activeCell="A117" sqref="A117"/>
      <selection activeCell="R1" sqref="R1"/>
    </sheetView>
  </sheetViews>
  <sheetFormatPr defaultRowHeight="36.950000000000003" customHeight="1"/>
  <cols>
    <col min="1" max="1" width="14" customWidth="1"/>
    <col min="2" max="2" width="13" customWidth="1"/>
    <col min="3" max="3" width="16" customWidth="1"/>
    <col min="4" max="4" width="27" customWidth="1"/>
    <col min="5" max="5" width="32" customWidth="1"/>
    <col min="6" max="6" width="14" customWidth="1"/>
    <col min="7" max="7" width="13" customWidth="1"/>
    <col min="8" max="8" width="18" customWidth="1"/>
    <col min="9" max="9" width="38.125" customWidth="1"/>
    <col min="10" max="10" width="51" customWidth="1"/>
    <col min="11" max="11" width="53.625" customWidth="1"/>
    <col min="12" max="13" width="27.75" customWidth="1"/>
    <col min="14" max="14" width="20" customWidth="1"/>
    <col min="15" max="15" width="36" customWidth="1"/>
    <col min="16" max="16" width="12" customWidth="1"/>
    <col min="17" max="17" width="24" customWidth="1"/>
    <col min="18" max="18" width="46" customWidth="1"/>
    <col min="19" max="19" width="34" customWidth="1"/>
    <col min="20" max="20" width="44" customWidth="1"/>
    <col min="21" max="21" width="20" customWidth="1"/>
    <col min="22" max="22" width="28" customWidth="1"/>
    <col min="23" max="23" width="48" customWidth="1"/>
  </cols>
  <sheetData>
    <row r="1" spans="1:23" ht="36.950000000000003" customHeight="1">
      <c r="A1" s="9" t="s">
        <v>33</v>
      </c>
      <c r="B1" s="9" t="s">
        <v>2</v>
      </c>
      <c r="C1" s="9" t="s">
        <v>34</v>
      </c>
      <c r="D1" s="9" t="s">
        <v>35</v>
      </c>
      <c r="E1" s="9" t="s">
        <v>36</v>
      </c>
      <c r="F1" s="9" t="s">
        <v>37</v>
      </c>
      <c r="G1" s="9" t="s">
        <v>38</v>
      </c>
      <c r="H1" s="9" t="s">
        <v>39</v>
      </c>
      <c r="I1" s="9" t="s">
        <v>40</v>
      </c>
      <c r="J1" s="9" t="s">
        <v>41</v>
      </c>
      <c r="K1" s="9" t="s">
        <v>42</v>
      </c>
      <c r="L1" s="9" t="s">
        <v>43</v>
      </c>
      <c r="M1" s="9" t="s">
        <v>44</v>
      </c>
      <c r="N1" s="9" t="s">
        <v>45</v>
      </c>
      <c r="O1" s="9" t="s">
        <v>46</v>
      </c>
      <c r="P1" s="9" t="s">
        <v>47</v>
      </c>
      <c r="Q1" s="9" t="s">
        <v>48</v>
      </c>
      <c r="R1" s="9" t="s">
        <v>49</v>
      </c>
      <c r="S1" s="9" t="s">
        <v>50</v>
      </c>
      <c r="T1" s="10" t="s">
        <v>51</v>
      </c>
      <c r="U1" s="1" t="s">
        <v>52</v>
      </c>
      <c r="V1" s="1" t="s">
        <v>53</v>
      </c>
      <c r="W1" s="1" t="s">
        <v>54</v>
      </c>
    </row>
    <row r="2" spans="1:23" ht="62.1" customHeight="1">
      <c r="A2" s="11" t="s">
        <v>55</v>
      </c>
      <c r="B2" s="11" t="s">
        <v>13</v>
      </c>
      <c r="C2" s="11" t="s">
        <v>56</v>
      </c>
      <c r="D2" s="11" t="s">
        <v>57</v>
      </c>
      <c r="E2" s="11" t="s">
        <v>58</v>
      </c>
      <c r="F2" s="11" t="s">
        <v>59</v>
      </c>
      <c r="G2" s="11" t="s">
        <v>60</v>
      </c>
      <c r="H2" s="11" t="s">
        <v>61</v>
      </c>
      <c r="I2" s="11" t="s">
        <v>62</v>
      </c>
      <c r="J2" s="11" t="s">
        <v>63</v>
      </c>
      <c r="K2" s="11" t="s">
        <v>64</v>
      </c>
      <c r="L2" s="12" t="s">
        <v>65</v>
      </c>
      <c r="M2" s="12" t="s">
        <v>66</v>
      </c>
      <c r="N2" s="11" t="s">
        <v>67</v>
      </c>
      <c r="O2" s="11" t="s">
        <v>68</v>
      </c>
      <c r="P2" s="11" t="s">
        <v>69</v>
      </c>
      <c r="Q2" s="11" t="s">
        <v>67</v>
      </c>
      <c r="R2" s="11" t="s">
        <v>67</v>
      </c>
      <c r="S2" s="11" t="s">
        <v>70</v>
      </c>
      <c r="T2" s="13" t="s">
        <v>67</v>
      </c>
      <c r="U2" s="8"/>
      <c r="V2" s="8"/>
      <c r="W2" s="2"/>
    </row>
    <row r="3" spans="1:23" ht="33.950000000000003" customHeight="1">
      <c r="A3" s="11" t="s">
        <v>55</v>
      </c>
      <c r="B3" s="11" t="s">
        <v>13</v>
      </c>
      <c r="C3" s="11" t="s">
        <v>71</v>
      </c>
      <c r="D3" s="11" t="s">
        <v>72</v>
      </c>
      <c r="E3" s="11" t="s">
        <v>73</v>
      </c>
      <c r="F3" s="11" t="s">
        <v>59</v>
      </c>
      <c r="G3" s="11" t="s">
        <v>60</v>
      </c>
      <c r="H3" s="11" t="s">
        <v>61</v>
      </c>
      <c r="I3" s="11" t="s">
        <v>74</v>
      </c>
      <c r="J3" s="11" t="s">
        <v>75</v>
      </c>
      <c r="K3" s="11" t="s">
        <v>76</v>
      </c>
      <c r="L3" s="12" t="s">
        <v>65</v>
      </c>
      <c r="M3" s="12" t="s">
        <v>66</v>
      </c>
      <c r="N3" s="11" t="s">
        <v>77</v>
      </c>
      <c r="O3" s="11" t="s">
        <v>68</v>
      </c>
      <c r="P3" s="11" t="s">
        <v>78</v>
      </c>
      <c r="Q3" s="11" t="s">
        <v>67</v>
      </c>
      <c r="R3" s="11" t="s">
        <v>67</v>
      </c>
      <c r="S3" s="11" t="s">
        <v>70</v>
      </c>
      <c r="T3" s="13" t="s">
        <v>67</v>
      </c>
      <c r="U3" s="8"/>
      <c r="V3" s="8"/>
      <c r="W3" s="2"/>
    </row>
    <row r="4" spans="1:23" ht="33.950000000000003" customHeight="1">
      <c r="A4" s="11" t="s">
        <v>55</v>
      </c>
      <c r="B4" s="11" t="s">
        <v>13</v>
      </c>
      <c r="C4" s="11" t="s">
        <v>79</v>
      </c>
      <c r="D4" s="11" t="s">
        <v>80</v>
      </c>
      <c r="E4" s="11" t="s">
        <v>81</v>
      </c>
      <c r="F4" s="11" t="s">
        <v>59</v>
      </c>
      <c r="G4" s="11" t="s">
        <v>60</v>
      </c>
      <c r="H4" s="11" t="s">
        <v>61</v>
      </c>
      <c r="I4" s="11" t="s">
        <v>82</v>
      </c>
      <c r="J4" s="11" t="s">
        <v>83</v>
      </c>
      <c r="K4" s="11" t="s">
        <v>84</v>
      </c>
      <c r="L4" s="12" t="s">
        <v>65</v>
      </c>
      <c r="M4" s="12" t="s">
        <v>66</v>
      </c>
      <c r="N4" s="11" t="s">
        <v>77</v>
      </c>
      <c r="O4" s="11" t="s">
        <v>68</v>
      </c>
      <c r="P4" s="11" t="s">
        <v>85</v>
      </c>
      <c r="Q4" s="11" t="s">
        <v>67</v>
      </c>
      <c r="R4" s="11" t="s">
        <v>67</v>
      </c>
      <c r="S4" s="11" t="s">
        <v>70</v>
      </c>
      <c r="T4" s="13" t="s">
        <v>67</v>
      </c>
      <c r="U4" s="8"/>
      <c r="V4" s="8"/>
      <c r="W4" s="2"/>
    </row>
    <row r="5" spans="1:23" ht="33.950000000000003" customHeight="1">
      <c r="A5" s="11" t="s">
        <v>55</v>
      </c>
      <c r="B5" s="11" t="s">
        <v>13</v>
      </c>
      <c r="C5" s="11" t="s">
        <v>86</v>
      </c>
      <c r="D5" s="11" t="s">
        <v>87</v>
      </c>
      <c r="E5" s="11" t="s">
        <v>88</v>
      </c>
      <c r="F5" s="11" t="s">
        <v>59</v>
      </c>
      <c r="G5" s="11" t="s">
        <v>60</v>
      </c>
      <c r="H5" s="11" t="s">
        <v>61</v>
      </c>
      <c r="I5" s="11" t="s">
        <v>89</v>
      </c>
      <c r="J5" s="11" t="s">
        <v>90</v>
      </c>
      <c r="K5" s="11" t="s">
        <v>91</v>
      </c>
      <c r="L5" s="12" t="s">
        <v>65</v>
      </c>
      <c r="M5" s="12" t="s">
        <v>66</v>
      </c>
      <c r="N5" s="11" t="s">
        <v>67</v>
      </c>
      <c r="O5" s="11" t="s">
        <v>92</v>
      </c>
      <c r="P5" s="11" t="s">
        <v>67</v>
      </c>
      <c r="Q5" s="11" t="s">
        <v>67</v>
      </c>
      <c r="R5" s="11" t="s">
        <v>67</v>
      </c>
      <c r="S5" s="11" t="s">
        <v>70</v>
      </c>
      <c r="T5" s="13" t="s">
        <v>67</v>
      </c>
      <c r="U5" s="8"/>
      <c r="V5" s="8"/>
      <c r="W5" s="2"/>
    </row>
    <row r="6" spans="1:23" ht="33.950000000000003" customHeight="1">
      <c r="A6" s="11" t="s">
        <v>55</v>
      </c>
      <c r="B6" s="11" t="s">
        <v>13</v>
      </c>
      <c r="C6" s="11" t="s">
        <v>93</v>
      </c>
      <c r="D6" s="11" t="s">
        <v>94</v>
      </c>
      <c r="E6" s="11" t="s">
        <v>95</v>
      </c>
      <c r="F6" s="11" t="s">
        <v>59</v>
      </c>
      <c r="G6" s="11" t="s">
        <v>60</v>
      </c>
      <c r="H6" s="11" t="s">
        <v>61</v>
      </c>
      <c r="I6" s="11" t="s">
        <v>96</v>
      </c>
      <c r="J6" s="11" t="s">
        <v>97</v>
      </c>
      <c r="K6" s="11" t="s">
        <v>98</v>
      </c>
      <c r="L6" s="12" t="s">
        <v>65</v>
      </c>
      <c r="M6" s="12" t="s">
        <v>66</v>
      </c>
      <c r="N6" s="11" t="s">
        <v>67</v>
      </c>
      <c r="O6" s="11" t="s">
        <v>68</v>
      </c>
      <c r="P6" s="11" t="s">
        <v>67</v>
      </c>
      <c r="Q6" s="11" t="s">
        <v>99</v>
      </c>
      <c r="R6" s="11" t="s">
        <v>67</v>
      </c>
      <c r="S6" s="11" t="s">
        <v>70</v>
      </c>
      <c r="T6" s="13" t="s">
        <v>67</v>
      </c>
      <c r="U6" s="8"/>
      <c r="V6" s="8"/>
      <c r="W6" s="2"/>
    </row>
    <row r="7" spans="1:23" ht="33.950000000000003" customHeight="1">
      <c r="A7" s="11" t="s">
        <v>55</v>
      </c>
      <c r="B7" s="11" t="s">
        <v>13</v>
      </c>
      <c r="C7" s="11" t="s">
        <v>100</v>
      </c>
      <c r="D7" s="11" t="s">
        <v>101</v>
      </c>
      <c r="E7" s="11" t="s">
        <v>102</v>
      </c>
      <c r="F7" s="11" t="s">
        <v>59</v>
      </c>
      <c r="G7" s="11" t="s">
        <v>60</v>
      </c>
      <c r="H7" s="11" t="s">
        <v>61</v>
      </c>
      <c r="I7" s="11" t="s">
        <v>103</v>
      </c>
      <c r="J7" s="14" t="s">
        <v>104</v>
      </c>
      <c r="K7" s="14" t="s">
        <v>105</v>
      </c>
      <c r="L7" s="12" t="s">
        <v>106</v>
      </c>
      <c r="M7" s="12" t="s">
        <v>67</v>
      </c>
      <c r="N7" s="11" t="s">
        <v>107</v>
      </c>
      <c r="O7" s="11" t="s">
        <v>68</v>
      </c>
      <c r="P7" s="11" t="s">
        <v>108</v>
      </c>
      <c r="Q7" s="11" t="s">
        <v>67</v>
      </c>
      <c r="R7" s="11" t="s">
        <v>67</v>
      </c>
      <c r="S7" s="11" t="s">
        <v>70</v>
      </c>
      <c r="T7" s="13" t="s">
        <v>67</v>
      </c>
      <c r="U7" s="8"/>
      <c r="V7" s="8"/>
      <c r="W7" s="2"/>
    </row>
    <row r="8" spans="1:23" ht="33.950000000000003" customHeight="1">
      <c r="A8" s="11" t="s">
        <v>55</v>
      </c>
      <c r="B8" s="11" t="s">
        <v>13</v>
      </c>
      <c r="C8" s="11" t="s">
        <v>109</v>
      </c>
      <c r="D8" s="11" t="s">
        <v>110</v>
      </c>
      <c r="E8" s="11" t="s">
        <v>111</v>
      </c>
      <c r="F8" s="11" t="s">
        <v>59</v>
      </c>
      <c r="G8" s="11" t="s">
        <v>60</v>
      </c>
      <c r="H8" s="11" t="s">
        <v>61</v>
      </c>
      <c r="I8" s="11" t="s">
        <v>112</v>
      </c>
      <c r="J8" s="14" t="s">
        <v>113</v>
      </c>
      <c r="K8" s="14" t="s">
        <v>114</v>
      </c>
      <c r="L8" s="12" t="s">
        <v>106</v>
      </c>
      <c r="M8" s="12" t="s">
        <v>67</v>
      </c>
      <c r="N8" s="11" t="s">
        <v>107</v>
      </c>
      <c r="O8" s="11" t="s">
        <v>68</v>
      </c>
      <c r="P8" s="11" t="s">
        <v>67</v>
      </c>
      <c r="Q8" s="11" t="s">
        <v>115</v>
      </c>
      <c r="R8" s="11" t="s">
        <v>67</v>
      </c>
      <c r="S8" s="11" t="s">
        <v>70</v>
      </c>
      <c r="T8" s="13" t="s">
        <v>67</v>
      </c>
      <c r="U8" s="8"/>
      <c r="V8" s="8"/>
      <c r="W8" s="2"/>
    </row>
    <row r="9" spans="1:23" ht="33.950000000000003" customHeight="1">
      <c r="A9" s="11" t="s">
        <v>55</v>
      </c>
      <c r="B9" s="11" t="s">
        <v>13</v>
      </c>
      <c r="C9" s="11" t="s">
        <v>116</v>
      </c>
      <c r="D9" s="11" t="s">
        <v>117</v>
      </c>
      <c r="E9" s="11" t="s">
        <v>118</v>
      </c>
      <c r="F9" s="11" t="s">
        <v>59</v>
      </c>
      <c r="G9" s="11" t="s">
        <v>60</v>
      </c>
      <c r="H9" s="11" t="s">
        <v>61</v>
      </c>
      <c r="I9" s="11" t="s">
        <v>119</v>
      </c>
      <c r="J9" s="15" t="s">
        <v>120</v>
      </c>
      <c r="K9" s="15" t="s">
        <v>121</v>
      </c>
      <c r="L9" s="12" t="s">
        <v>106</v>
      </c>
      <c r="M9" s="12" t="s">
        <v>67</v>
      </c>
      <c r="N9" s="11" t="s">
        <v>122</v>
      </c>
      <c r="O9" s="11" t="s">
        <v>68</v>
      </c>
      <c r="P9" s="11" t="s">
        <v>67</v>
      </c>
      <c r="Q9" s="11" t="s">
        <v>123</v>
      </c>
      <c r="R9" s="11" t="s">
        <v>67</v>
      </c>
      <c r="S9" s="11" t="s">
        <v>70</v>
      </c>
      <c r="T9" s="13" t="s">
        <v>67</v>
      </c>
      <c r="U9" s="8"/>
      <c r="V9" s="8"/>
      <c r="W9" s="2"/>
    </row>
    <row r="10" spans="1:23" ht="33.950000000000003" customHeight="1">
      <c r="A10" s="11" t="s">
        <v>55</v>
      </c>
      <c r="B10" s="11" t="s">
        <v>13</v>
      </c>
      <c r="C10" s="11" t="s">
        <v>124</v>
      </c>
      <c r="D10" s="11" t="s">
        <v>125</v>
      </c>
      <c r="E10" s="11" t="s">
        <v>126</v>
      </c>
      <c r="F10" s="11" t="s">
        <v>59</v>
      </c>
      <c r="G10" s="11" t="s">
        <v>60</v>
      </c>
      <c r="H10" s="11" t="s">
        <v>61</v>
      </c>
      <c r="I10" s="14" t="s">
        <v>127</v>
      </c>
      <c r="J10" s="11" t="s">
        <v>67</v>
      </c>
      <c r="K10" s="11" t="s">
        <v>128</v>
      </c>
      <c r="L10" s="12" t="s">
        <v>106</v>
      </c>
      <c r="M10" s="12" t="s">
        <v>67</v>
      </c>
      <c r="N10" s="11" t="s">
        <v>129</v>
      </c>
      <c r="O10" s="11" t="s">
        <v>130</v>
      </c>
      <c r="P10" s="11" t="s">
        <v>67</v>
      </c>
      <c r="Q10" s="11" t="s">
        <v>67</v>
      </c>
      <c r="R10" s="11" t="s">
        <v>67</v>
      </c>
      <c r="S10" s="11" t="s">
        <v>70</v>
      </c>
      <c r="T10" s="13" t="s">
        <v>67</v>
      </c>
      <c r="U10" s="8"/>
      <c r="V10" s="8"/>
      <c r="W10" s="2"/>
    </row>
    <row r="11" spans="1:23" ht="48" customHeight="1">
      <c r="A11" s="11" t="s">
        <v>55</v>
      </c>
      <c r="B11" s="11" t="s">
        <v>13</v>
      </c>
      <c r="C11" s="11" t="s">
        <v>131</v>
      </c>
      <c r="D11" s="11" t="s">
        <v>132</v>
      </c>
      <c r="E11" s="11" t="s">
        <v>133</v>
      </c>
      <c r="F11" s="11" t="s">
        <v>59</v>
      </c>
      <c r="G11" s="11" t="s">
        <v>60</v>
      </c>
      <c r="H11" s="11" t="s">
        <v>61</v>
      </c>
      <c r="I11" s="11" t="s">
        <v>134</v>
      </c>
      <c r="J11" s="14" t="s">
        <v>135</v>
      </c>
      <c r="K11" s="14" t="s">
        <v>136</v>
      </c>
      <c r="L11" s="12" t="s">
        <v>106</v>
      </c>
      <c r="M11" s="12" t="s">
        <v>67</v>
      </c>
      <c r="N11" s="11" t="s">
        <v>107</v>
      </c>
      <c r="O11" s="11" t="s">
        <v>68</v>
      </c>
      <c r="P11" s="11" t="s">
        <v>137</v>
      </c>
      <c r="Q11" s="11" t="s">
        <v>67</v>
      </c>
      <c r="R11" s="11" t="s">
        <v>67</v>
      </c>
      <c r="S11" s="11" t="s">
        <v>70</v>
      </c>
      <c r="T11" s="13" t="s">
        <v>67</v>
      </c>
      <c r="U11" s="8"/>
      <c r="V11" s="8"/>
      <c r="W11" s="2"/>
    </row>
    <row r="12" spans="1:23" ht="33.950000000000003" customHeight="1">
      <c r="A12" s="11" t="s">
        <v>55</v>
      </c>
      <c r="B12" s="11" t="s">
        <v>13</v>
      </c>
      <c r="C12" s="11" t="s">
        <v>138</v>
      </c>
      <c r="D12" s="11" t="s">
        <v>139</v>
      </c>
      <c r="E12" s="11" t="s">
        <v>140</v>
      </c>
      <c r="F12" s="11" t="s">
        <v>59</v>
      </c>
      <c r="G12" s="11" t="s">
        <v>60</v>
      </c>
      <c r="H12" s="11" t="s">
        <v>61</v>
      </c>
      <c r="I12" s="11" t="s">
        <v>141</v>
      </c>
      <c r="J12" s="11" t="s">
        <v>142</v>
      </c>
      <c r="K12" s="11" t="s">
        <v>143</v>
      </c>
      <c r="L12" s="12" t="s">
        <v>106</v>
      </c>
      <c r="M12" s="12" t="s">
        <v>67</v>
      </c>
      <c r="N12" s="11" t="s">
        <v>144</v>
      </c>
      <c r="O12" s="11" t="s">
        <v>68</v>
      </c>
      <c r="P12" s="11" t="s">
        <v>145</v>
      </c>
      <c r="Q12" s="11" t="s">
        <v>67</v>
      </c>
      <c r="R12" s="11" t="s">
        <v>67</v>
      </c>
      <c r="S12" s="11" t="s">
        <v>70</v>
      </c>
      <c r="T12" s="13" t="s">
        <v>67</v>
      </c>
      <c r="U12" s="8"/>
      <c r="V12" s="8"/>
      <c r="W12" s="2"/>
    </row>
    <row r="13" spans="1:23" ht="33.950000000000003" customHeight="1">
      <c r="A13" s="11" t="s">
        <v>55</v>
      </c>
      <c r="B13" s="11" t="s">
        <v>13</v>
      </c>
      <c r="C13" s="11" t="s">
        <v>146</v>
      </c>
      <c r="D13" s="11" t="s">
        <v>147</v>
      </c>
      <c r="E13" s="11" t="s">
        <v>148</v>
      </c>
      <c r="F13" s="11" t="s">
        <v>59</v>
      </c>
      <c r="G13" s="11" t="s">
        <v>60</v>
      </c>
      <c r="H13" s="11" t="s">
        <v>61</v>
      </c>
      <c r="I13" s="11" t="s">
        <v>149</v>
      </c>
      <c r="J13" s="14" t="s">
        <v>150</v>
      </c>
      <c r="K13" s="14" t="s">
        <v>151</v>
      </c>
      <c r="L13" s="12" t="s">
        <v>106</v>
      </c>
      <c r="M13" s="12" t="s">
        <v>67</v>
      </c>
      <c r="N13" s="11" t="s">
        <v>144</v>
      </c>
      <c r="O13" s="11" t="s">
        <v>68</v>
      </c>
      <c r="P13" s="11" t="s">
        <v>152</v>
      </c>
      <c r="Q13" s="11" t="s">
        <v>67</v>
      </c>
      <c r="R13" s="11" t="s">
        <v>67</v>
      </c>
      <c r="S13" s="11" t="s">
        <v>70</v>
      </c>
      <c r="T13" s="13" t="s">
        <v>67</v>
      </c>
      <c r="U13" s="8"/>
      <c r="V13" s="8"/>
      <c r="W13" s="2"/>
    </row>
    <row r="14" spans="1:23" ht="33.950000000000003" customHeight="1">
      <c r="A14" s="11" t="s">
        <v>55</v>
      </c>
      <c r="B14" s="11" t="s">
        <v>13</v>
      </c>
      <c r="C14" s="11" t="s">
        <v>153</v>
      </c>
      <c r="D14" s="11" t="s">
        <v>154</v>
      </c>
      <c r="E14" s="11" t="s">
        <v>155</v>
      </c>
      <c r="F14" s="11" t="s">
        <v>59</v>
      </c>
      <c r="G14" s="11" t="s">
        <v>60</v>
      </c>
      <c r="H14" s="11" t="s">
        <v>61</v>
      </c>
      <c r="I14" s="11" t="s">
        <v>156</v>
      </c>
      <c r="J14" s="14" t="s">
        <v>157</v>
      </c>
      <c r="K14" s="14" t="s">
        <v>158</v>
      </c>
      <c r="L14" s="12" t="s">
        <v>106</v>
      </c>
      <c r="M14" s="12" t="s">
        <v>67</v>
      </c>
      <c r="N14" s="11" t="s">
        <v>144</v>
      </c>
      <c r="O14" s="11" t="s">
        <v>68</v>
      </c>
      <c r="P14" s="11" t="s">
        <v>159</v>
      </c>
      <c r="Q14" s="11" t="s">
        <v>67</v>
      </c>
      <c r="R14" s="11" t="s">
        <v>67</v>
      </c>
      <c r="S14" s="11" t="s">
        <v>70</v>
      </c>
      <c r="T14" s="13" t="s">
        <v>67</v>
      </c>
      <c r="U14" s="8"/>
      <c r="V14" s="8"/>
      <c r="W14" s="2"/>
    </row>
    <row r="15" spans="1:23" ht="33.950000000000003" customHeight="1">
      <c r="A15" s="11" t="s">
        <v>55</v>
      </c>
      <c r="B15" s="11" t="s">
        <v>13</v>
      </c>
      <c r="C15" s="11" t="s">
        <v>160</v>
      </c>
      <c r="D15" s="11" t="s">
        <v>161</v>
      </c>
      <c r="E15" s="11" t="s">
        <v>162</v>
      </c>
      <c r="F15" s="11" t="s">
        <v>59</v>
      </c>
      <c r="G15" s="11" t="s">
        <v>60</v>
      </c>
      <c r="H15" s="11" t="s">
        <v>61</v>
      </c>
      <c r="I15" s="11" t="s">
        <v>163</v>
      </c>
      <c r="J15" s="16" t="s">
        <v>164</v>
      </c>
      <c r="K15" s="16" t="s">
        <v>165</v>
      </c>
      <c r="L15" s="12" t="s">
        <v>106</v>
      </c>
      <c r="M15" s="12" t="s">
        <v>67</v>
      </c>
      <c r="N15" s="11" t="s">
        <v>166</v>
      </c>
      <c r="O15" s="11" t="s">
        <v>68</v>
      </c>
      <c r="P15" s="11" t="s">
        <v>167</v>
      </c>
      <c r="Q15" s="11" t="s">
        <v>67</v>
      </c>
      <c r="R15" s="11" t="s">
        <v>67</v>
      </c>
      <c r="S15" s="11" t="s">
        <v>70</v>
      </c>
      <c r="T15" s="13" t="s">
        <v>67</v>
      </c>
      <c r="U15" s="8"/>
      <c r="V15" s="8"/>
      <c r="W15" s="2"/>
    </row>
    <row r="16" spans="1:23" ht="48" customHeight="1">
      <c r="A16" s="11" t="s">
        <v>55</v>
      </c>
      <c r="B16" s="11" t="s">
        <v>13</v>
      </c>
      <c r="C16" s="11" t="s">
        <v>168</v>
      </c>
      <c r="D16" s="11" t="s">
        <v>169</v>
      </c>
      <c r="E16" s="11" t="s">
        <v>170</v>
      </c>
      <c r="F16" s="11" t="s">
        <v>59</v>
      </c>
      <c r="G16" s="11" t="s">
        <v>60</v>
      </c>
      <c r="H16" s="11" t="s">
        <v>61</v>
      </c>
      <c r="I16" s="11" t="s">
        <v>171</v>
      </c>
      <c r="J16" s="14" t="s">
        <v>172</v>
      </c>
      <c r="K16" s="14" t="s">
        <v>173</v>
      </c>
      <c r="L16" s="12" t="s">
        <v>106</v>
      </c>
      <c r="M16" s="12" t="s">
        <v>67</v>
      </c>
      <c r="N16" s="11" t="s">
        <v>174</v>
      </c>
      <c r="O16" s="11" t="s">
        <v>68</v>
      </c>
      <c r="P16" s="11" t="s">
        <v>67</v>
      </c>
      <c r="Q16" s="11" t="s">
        <v>175</v>
      </c>
      <c r="R16" s="11" t="s">
        <v>67</v>
      </c>
      <c r="S16" s="11" t="s">
        <v>70</v>
      </c>
      <c r="T16" s="13" t="s">
        <v>67</v>
      </c>
      <c r="U16" s="8"/>
      <c r="V16" s="8"/>
      <c r="W16" s="2"/>
    </row>
    <row r="17" spans="1:23" ht="33.950000000000003" customHeight="1">
      <c r="A17" s="11" t="s">
        <v>55</v>
      </c>
      <c r="B17" s="11" t="s">
        <v>13</v>
      </c>
      <c r="C17" s="11" t="s">
        <v>176</v>
      </c>
      <c r="D17" s="11" t="s">
        <v>177</v>
      </c>
      <c r="E17" s="11" t="s">
        <v>178</v>
      </c>
      <c r="F17" s="11" t="s">
        <v>59</v>
      </c>
      <c r="G17" s="11" t="s">
        <v>60</v>
      </c>
      <c r="H17" s="11" t="s">
        <v>61</v>
      </c>
      <c r="I17" s="11" t="s">
        <v>179</v>
      </c>
      <c r="J17" s="14" t="s">
        <v>180</v>
      </c>
      <c r="K17" s="14" t="s">
        <v>181</v>
      </c>
      <c r="L17" s="12" t="s">
        <v>106</v>
      </c>
      <c r="M17" s="12" t="s">
        <v>67</v>
      </c>
      <c r="N17" s="11" t="s">
        <v>182</v>
      </c>
      <c r="O17" s="11" t="s">
        <v>68</v>
      </c>
      <c r="P17" s="11" t="s">
        <v>183</v>
      </c>
      <c r="Q17" s="11" t="s">
        <v>67</v>
      </c>
      <c r="R17" s="11" t="s">
        <v>67</v>
      </c>
      <c r="S17" s="11" t="s">
        <v>70</v>
      </c>
      <c r="T17" s="13" t="s">
        <v>67</v>
      </c>
      <c r="U17" s="8"/>
      <c r="V17" s="8"/>
      <c r="W17" s="2"/>
    </row>
    <row r="18" spans="1:23" ht="33.950000000000003" customHeight="1">
      <c r="A18" s="11" t="s">
        <v>55</v>
      </c>
      <c r="B18" s="11" t="s">
        <v>13</v>
      </c>
      <c r="C18" s="11" t="s">
        <v>184</v>
      </c>
      <c r="D18" s="11" t="s">
        <v>185</v>
      </c>
      <c r="E18" s="11" t="s">
        <v>186</v>
      </c>
      <c r="F18" s="11" t="s">
        <v>59</v>
      </c>
      <c r="G18" s="11" t="s">
        <v>60</v>
      </c>
      <c r="H18" s="11" t="s">
        <v>61</v>
      </c>
      <c r="I18" s="11" t="s">
        <v>187</v>
      </c>
      <c r="J18" s="14" t="s">
        <v>188</v>
      </c>
      <c r="K18" s="14" t="s">
        <v>189</v>
      </c>
      <c r="L18" s="12" t="s">
        <v>106</v>
      </c>
      <c r="M18" s="12" t="s">
        <v>67</v>
      </c>
      <c r="N18" s="11" t="s">
        <v>190</v>
      </c>
      <c r="O18" s="11" t="s">
        <v>68</v>
      </c>
      <c r="P18" s="11" t="s">
        <v>191</v>
      </c>
      <c r="Q18" s="11" t="s">
        <v>67</v>
      </c>
      <c r="R18" s="11" t="s">
        <v>67</v>
      </c>
      <c r="S18" s="11" t="s">
        <v>70</v>
      </c>
      <c r="T18" s="13" t="s">
        <v>67</v>
      </c>
      <c r="U18" s="8"/>
      <c r="V18" s="8"/>
      <c r="W18" s="2"/>
    </row>
    <row r="19" spans="1:23" ht="75.95" customHeight="1">
      <c r="A19" s="11" t="s">
        <v>55</v>
      </c>
      <c r="B19" s="11" t="s">
        <v>13</v>
      </c>
      <c r="C19" s="11" t="s">
        <v>192</v>
      </c>
      <c r="D19" s="11" t="s">
        <v>193</v>
      </c>
      <c r="E19" s="11" t="s">
        <v>58</v>
      </c>
      <c r="F19" s="11" t="s">
        <v>59</v>
      </c>
      <c r="G19" s="11" t="s">
        <v>60</v>
      </c>
      <c r="H19" s="11" t="s">
        <v>194</v>
      </c>
      <c r="I19" s="11" t="s">
        <v>195</v>
      </c>
      <c r="J19" s="15" t="s">
        <v>196</v>
      </c>
      <c r="K19" s="15" t="s">
        <v>197</v>
      </c>
      <c r="L19" s="12" t="s">
        <v>65</v>
      </c>
      <c r="M19" s="12" t="s">
        <v>66</v>
      </c>
      <c r="N19" s="11" t="s">
        <v>67</v>
      </c>
      <c r="O19" s="11" t="s">
        <v>68</v>
      </c>
      <c r="P19" s="11" t="s">
        <v>69</v>
      </c>
      <c r="Q19" s="11" t="s">
        <v>67</v>
      </c>
      <c r="R19" s="11" t="s">
        <v>67</v>
      </c>
      <c r="S19" s="11" t="s">
        <v>70</v>
      </c>
      <c r="T19" s="13" t="s">
        <v>67</v>
      </c>
      <c r="U19" s="8"/>
      <c r="V19" s="8"/>
      <c r="W19" s="2"/>
    </row>
    <row r="20" spans="1:23" ht="75.95" customHeight="1">
      <c r="A20" s="11" t="s">
        <v>55</v>
      </c>
      <c r="B20" s="11" t="s">
        <v>13</v>
      </c>
      <c r="C20" s="11" t="s">
        <v>198</v>
      </c>
      <c r="D20" s="11" t="s">
        <v>199</v>
      </c>
      <c r="E20" s="11" t="s">
        <v>58</v>
      </c>
      <c r="F20" s="11" t="s">
        <v>59</v>
      </c>
      <c r="G20" s="11" t="s">
        <v>60</v>
      </c>
      <c r="H20" s="11" t="s">
        <v>200</v>
      </c>
      <c r="I20" s="11" t="s">
        <v>201</v>
      </c>
      <c r="J20" s="14" t="s">
        <v>202</v>
      </c>
      <c r="K20" s="14" t="s">
        <v>203</v>
      </c>
      <c r="L20" s="12" t="s">
        <v>106</v>
      </c>
      <c r="M20" s="12" t="s">
        <v>67</v>
      </c>
      <c r="N20" s="11" t="s">
        <v>204</v>
      </c>
      <c r="O20" s="11" t="s">
        <v>68</v>
      </c>
      <c r="P20" s="11" t="s">
        <v>69</v>
      </c>
      <c r="Q20" s="11" t="s">
        <v>67</v>
      </c>
      <c r="R20" s="11" t="s">
        <v>67</v>
      </c>
      <c r="S20" s="11" t="s">
        <v>70</v>
      </c>
      <c r="T20" s="13" t="s">
        <v>67</v>
      </c>
      <c r="U20" s="8"/>
      <c r="V20" s="8"/>
      <c r="W20" s="2"/>
    </row>
    <row r="21" spans="1:23" ht="90" customHeight="1">
      <c r="A21" s="11" t="s">
        <v>55</v>
      </c>
      <c r="B21" s="11" t="s">
        <v>13</v>
      </c>
      <c r="C21" s="11" t="s">
        <v>205</v>
      </c>
      <c r="D21" s="11" t="s">
        <v>206</v>
      </c>
      <c r="E21" s="11" t="s">
        <v>58</v>
      </c>
      <c r="F21" s="11" t="s">
        <v>59</v>
      </c>
      <c r="G21" s="11" t="s">
        <v>60</v>
      </c>
      <c r="H21" s="11" t="s">
        <v>207</v>
      </c>
      <c r="I21" s="11" t="s">
        <v>208</v>
      </c>
      <c r="J21" s="14" t="s">
        <v>209</v>
      </c>
      <c r="K21" s="14" t="s">
        <v>210</v>
      </c>
      <c r="L21" s="12" t="s">
        <v>23</v>
      </c>
      <c r="M21" s="12" t="s">
        <v>66</v>
      </c>
      <c r="N21" s="11" t="s">
        <v>67</v>
      </c>
      <c r="O21" s="11" t="s">
        <v>68</v>
      </c>
      <c r="P21" s="11" t="s">
        <v>69</v>
      </c>
      <c r="Q21" s="11" t="s">
        <v>211</v>
      </c>
      <c r="R21" s="11" t="s">
        <v>67</v>
      </c>
      <c r="S21" s="11" t="s">
        <v>212</v>
      </c>
      <c r="T21" s="13" t="s">
        <v>67</v>
      </c>
      <c r="U21" s="8"/>
      <c r="V21" s="8"/>
      <c r="W21" s="2"/>
    </row>
    <row r="22" spans="1:23" ht="33.950000000000003" customHeight="1">
      <c r="A22" s="11" t="s">
        <v>55</v>
      </c>
      <c r="B22" s="11" t="s">
        <v>13</v>
      </c>
      <c r="C22" s="11" t="s">
        <v>213</v>
      </c>
      <c r="D22" s="11" t="s">
        <v>214</v>
      </c>
      <c r="E22" s="11" t="s">
        <v>215</v>
      </c>
      <c r="F22" s="11" t="s">
        <v>59</v>
      </c>
      <c r="G22" s="11" t="s">
        <v>60</v>
      </c>
      <c r="H22" s="11" t="s">
        <v>61</v>
      </c>
      <c r="I22" s="11" t="s">
        <v>216</v>
      </c>
      <c r="J22" s="14" t="s">
        <v>217</v>
      </c>
      <c r="K22" s="14" t="s">
        <v>218</v>
      </c>
      <c r="L22" s="12" t="s">
        <v>106</v>
      </c>
      <c r="M22" s="12" t="s">
        <v>67</v>
      </c>
      <c r="N22" s="11" t="s">
        <v>219</v>
      </c>
      <c r="O22" s="11" t="s">
        <v>68</v>
      </c>
      <c r="P22" s="11" t="s">
        <v>220</v>
      </c>
      <c r="Q22" s="11" t="s">
        <v>221</v>
      </c>
      <c r="R22" s="11" t="s">
        <v>67</v>
      </c>
      <c r="S22" s="11" t="s">
        <v>212</v>
      </c>
      <c r="T22" s="13" t="s">
        <v>67</v>
      </c>
      <c r="U22" s="8"/>
      <c r="V22" s="8"/>
      <c r="W22" s="2"/>
    </row>
    <row r="23" spans="1:23" ht="48" customHeight="1">
      <c r="A23" s="11" t="s">
        <v>55</v>
      </c>
      <c r="B23" s="11" t="s">
        <v>13</v>
      </c>
      <c r="C23" s="11" t="s">
        <v>222</v>
      </c>
      <c r="D23" s="11" t="s">
        <v>223</v>
      </c>
      <c r="E23" s="11" t="s">
        <v>215</v>
      </c>
      <c r="F23" s="11" t="s">
        <v>59</v>
      </c>
      <c r="G23" s="11" t="s">
        <v>60</v>
      </c>
      <c r="H23" s="11" t="s">
        <v>194</v>
      </c>
      <c r="I23" s="11" t="s">
        <v>224</v>
      </c>
      <c r="J23" s="11" t="s">
        <v>225</v>
      </c>
      <c r="K23" s="11" t="s">
        <v>226</v>
      </c>
      <c r="L23" s="12" t="s">
        <v>65</v>
      </c>
      <c r="M23" s="12" t="s">
        <v>66</v>
      </c>
      <c r="N23" s="11" t="s">
        <v>67</v>
      </c>
      <c r="O23" s="11" t="s">
        <v>68</v>
      </c>
      <c r="P23" s="11" t="s">
        <v>220</v>
      </c>
      <c r="Q23" s="11" t="s">
        <v>221</v>
      </c>
      <c r="R23" s="11" t="s">
        <v>67</v>
      </c>
      <c r="S23" s="11" t="s">
        <v>212</v>
      </c>
      <c r="T23" s="13" t="s">
        <v>67</v>
      </c>
      <c r="U23" s="8"/>
      <c r="V23" s="8"/>
      <c r="W23" s="2"/>
    </row>
    <row r="24" spans="1:23" ht="33.950000000000003" customHeight="1">
      <c r="A24" s="11" t="s">
        <v>55</v>
      </c>
      <c r="B24" s="11" t="s">
        <v>13</v>
      </c>
      <c r="C24" s="11" t="s">
        <v>227</v>
      </c>
      <c r="D24" s="11" t="s">
        <v>228</v>
      </c>
      <c r="E24" s="11" t="s">
        <v>215</v>
      </c>
      <c r="F24" s="11" t="s">
        <v>59</v>
      </c>
      <c r="G24" s="11" t="s">
        <v>60</v>
      </c>
      <c r="H24" s="11" t="s">
        <v>200</v>
      </c>
      <c r="I24" s="11" t="s">
        <v>229</v>
      </c>
      <c r="J24" s="11" t="s">
        <v>230</v>
      </c>
      <c r="K24" s="11" t="s">
        <v>231</v>
      </c>
      <c r="L24" s="12" t="s">
        <v>23</v>
      </c>
      <c r="M24" s="12" t="s">
        <v>66</v>
      </c>
      <c r="N24" s="11" t="s">
        <v>67</v>
      </c>
      <c r="O24" s="11" t="s">
        <v>68</v>
      </c>
      <c r="P24" s="11" t="s">
        <v>220</v>
      </c>
      <c r="Q24" s="11" t="s">
        <v>221</v>
      </c>
      <c r="R24" s="11" t="s">
        <v>67</v>
      </c>
      <c r="S24" s="11" t="s">
        <v>212</v>
      </c>
      <c r="T24" s="13" t="s">
        <v>67</v>
      </c>
      <c r="U24" s="8"/>
      <c r="V24" s="8"/>
      <c r="W24" s="2"/>
    </row>
    <row r="25" spans="1:23" ht="90" customHeight="1">
      <c r="A25" s="11" t="s">
        <v>55</v>
      </c>
      <c r="B25" s="11" t="s">
        <v>13</v>
      </c>
      <c r="C25" s="11" t="s">
        <v>232</v>
      </c>
      <c r="D25" s="11" t="s">
        <v>233</v>
      </c>
      <c r="E25" s="11" t="s">
        <v>215</v>
      </c>
      <c r="F25" s="11" t="s">
        <v>59</v>
      </c>
      <c r="G25" s="11" t="s">
        <v>60</v>
      </c>
      <c r="H25" s="11" t="s">
        <v>234</v>
      </c>
      <c r="I25" s="11" t="s">
        <v>235</v>
      </c>
      <c r="J25" s="14" t="s">
        <v>202</v>
      </c>
      <c r="K25" s="14" t="s">
        <v>236</v>
      </c>
      <c r="L25" s="12" t="s">
        <v>106</v>
      </c>
      <c r="M25" s="12" t="s">
        <v>67</v>
      </c>
      <c r="N25" s="11" t="s">
        <v>237</v>
      </c>
      <c r="O25" s="11" t="s">
        <v>68</v>
      </c>
      <c r="P25" s="11" t="s">
        <v>220</v>
      </c>
      <c r="Q25" s="11" t="s">
        <v>221</v>
      </c>
      <c r="R25" s="11" t="s">
        <v>67</v>
      </c>
      <c r="S25" s="11" t="s">
        <v>212</v>
      </c>
      <c r="T25" s="13" t="s">
        <v>67</v>
      </c>
      <c r="U25" s="8"/>
      <c r="V25" s="8"/>
      <c r="W25" s="2"/>
    </row>
    <row r="26" spans="1:23" ht="33.950000000000003" customHeight="1">
      <c r="A26" s="11" t="s">
        <v>55</v>
      </c>
      <c r="B26" s="11" t="s">
        <v>13</v>
      </c>
      <c r="C26" s="11" t="s">
        <v>238</v>
      </c>
      <c r="D26" s="11" t="s">
        <v>239</v>
      </c>
      <c r="E26" s="11" t="s">
        <v>240</v>
      </c>
      <c r="F26" s="11" t="s">
        <v>59</v>
      </c>
      <c r="G26" s="11" t="s">
        <v>60</v>
      </c>
      <c r="H26" s="11" t="s">
        <v>61</v>
      </c>
      <c r="I26" s="11" t="s">
        <v>241</v>
      </c>
      <c r="J26" s="15" t="s">
        <v>242</v>
      </c>
      <c r="K26" s="15" t="s">
        <v>243</v>
      </c>
      <c r="L26" s="12" t="s">
        <v>65</v>
      </c>
      <c r="M26" s="12" t="s">
        <v>66</v>
      </c>
      <c r="N26" s="11" t="s">
        <v>67</v>
      </c>
      <c r="O26" s="11" t="s">
        <v>68</v>
      </c>
      <c r="P26" s="11" t="s">
        <v>244</v>
      </c>
      <c r="Q26" s="11" t="s">
        <v>245</v>
      </c>
      <c r="R26" s="11" t="s">
        <v>67</v>
      </c>
      <c r="S26" s="11" t="s">
        <v>212</v>
      </c>
      <c r="T26" s="13" t="s">
        <v>67</v>
      </c>
      <c r="U26" s="8"/>
      <c r="V26" s="8"/>
      <c r="W26" s="2"/>
    </row>
    <row r="27" spans="1:23" ht="48" customHeight="1">
      <c r="A27" s="11" t="s">
        <v>55</v>
      </c>
      <c r="B27" s="11" t="s">
        <v>13</v>
      </c>
      <c r="C27" s="11" t="s">
        <v>246</v>
      </c>
      <c r="D27" s="11" t="s">
        <v>247</v>
      </c>
      <c r="E27" s="11" t="s">
        <v>240</v>
      </c>
      <c r="F27" s="11" t="s">
        <v>59</v>
      </c>
      <c r="G27" s="11" t="s">
        <v>60</v>
      </c>
      <c r="H27" s="11" t="s">
        <v>194</v>
      </c>
      <c r="I27" s="11" t="s">
        <v>224</v>
      </c>
      <c r="J27" s="11" t="s">
        <v>248</v>
      </c>
      <c r="K27" s="11" t="s">
        <v>249</v>
      </c>
      <c r="L27" s="12" t="s">
        <v>65</v>
      </c>
      <c r="M27" s="12" t="s">
        <v>66</v>
      </c>
      <c r="N27" s="11" t="s">
        <v>67</v>
      </c>
      <c r="O27" s="11" t="s">
        <v>68</v>
      </c>
      <c r="P27" s="11" t="s">
        <v>244</v>
      </c>
      <c r="Q27" s="11" t="s">
        <v>245</v>
      </c>
      <c r="R27" s="11" t="s">
        <v>67</v>
      </c>
      <c r="S27" s="11" t="s">
        <v>212</v>
      </c>
      <c r="T27" s="13" t="s">
        <v>67</v>
      </c>
      <c r="U27" s="8"/>
      <c r="V27" s="8"/>
      <c r="W27" s="2"/>
    </row>
    <row r="28" spans="1:23" ht="33.950000000000003" customHeight="1">
      <c r="A28" s="11" t="s">
        <v>55</v>
      </c>
      <c r="B28" s="11" t="s">
        <v>13</v>
      </c>
      <c r="C28" s="11" t="s">
        <v>250</v>
      </c>
      <c r="D28" s="11" t="s">
        <v>251</v>
      </c>
      <c r="E28" s="11" t="s">
        <v>240</v>
      </c>
      <c r="F28" s="11" t="s">
        <v>59</v>
      </c>
      <c r="G28" s="11" t="s">
        <v>60</v>
      </c>
      <c r="H28" s="11" t="s">
        <v>200</v>
      </c>
      <c r="I28" s="11" t="s">
        <v>252</v>
      </c>
      <c r="J28" s="15" t="s">
        <v>253</v>
      </c>
      <c r="K28" s="15" t="s">
        <v>254</v>
      </c>
      <c r="L28" s="12" t="s">
        <v>23</v>
      </c>
      <c r="M28" s="12" t="s">
        <v>66</v>
      </c>
      <c r="N28" s="11" t="s">
        <v>67</v>
      </c>
      <c r="O28" s="11" t="s">
        <v>68</v>
      </c>
      <c r="P28" s="11" t="s">
        <v>244</v>
      </c>
      <c r="Q28" s="11" t="s">
        <v>245</v>
      </c>
      <c r="R28" s="11" t="s">
        <v>67</v>
      </c>
      <c r="S28" s="11" t="s">
        <v>212</v>
      </c>
      <c r="T28" s="13" t="s">
        <v>67</v>
      </c>
      <c r="U28" s="8"/>
      <c r="V28" s="8"/>
      <c r="W28" s="2"/>
    </row>
    <row r="29" spans="1:23" ht="62.1" customHeight="1">
      <c r="A29" s="11" t="s">
        <v>55</v>
      </c>
      <c r="B29" s="11" t="s">
        <v>13</v>
      </c>
      <c r="C29" s="11" t="s">
        <v>255</v>
      </c>
      <c r="D29" s="11" t="s">
        <v>256</v>
      </c>
      <c r="E29" s="11" t="s">
        <v>240</v>
      </c>
      <c r="F29" s="11" t="s">
        <v>59</v>
      </c>
      <c r="G29" s="11" t="s">
        <v>60</v>
      </c>
      <c r="H29" s="11" t="s">
        <v>207</v>
      </c>
      <c r="I29" s="11" t="s">
        <v>257</v>
      </c>
      <c r="J29" s="15" t="s">
        <v>258</v>
      </c>
      <c r="K29" s="15" t="s">
        <v>259</v>
      </c>
      <c r="L29" s="12" t="s">
        <v>23</v>
      </c>
      <c r="M29" s="12" t="s">
        <v>66</v>
      </c>
      <c r="N29" s="11" t="s">
        <v>67</v>
      </c>
      <c r="O29" s="11" t="s">
        <v>68</v>
      </c>
      <c r="P29" s="11" t="s">
        <v>244</v>
      </c>
      <c r="Q29" s="11" t="s">
        <v>245</v>
      </c>
      <c r="R29" s="11" t="s">
        <v>67</v>
      </c>
      <c r="S29" s="11" t="s">
        <v>212</v>
      </c>
      <c r="T29" s="13" t="s">
        <v>67</v>
      </c>
      <c r="U29" s="8"/>
      <c r="V29" s="8"/>
      <c r="W29" s="2"/>
    </row>
    <row r="30" spans="1:23" ht="62.1" customHeight="1">
      <c r="A30" s="11" t="s">
        <v>55</v>
      </c>
      <c r="B30" s="11" t="s">
        <v>13</v>
      </c>
      <c r="C30" s="11" t="s">
        <v>260</v>
      </c>
      <c r="D30" s="11" t="s">
        <v>261</v>
      </c>
      <c r="E30" s="11" t="s">
        <v>81</v>
      </c>
      <c r="F30" s="11" t="s">
        <v>59</v>
      </c>
      <c r="G30" s="11" t="s">
        <v>60</v>
      </c>
      <c r="H30" s="11" t="s">
        <v>194</v>
      </c>
      <c r="I30" s="11" t="s">
        <v>262</v>
      </c>
      <c r="J30" s="11" t="s">
        <v>263</v>
      </c>
      <c r="K30" s="11" t="s">
        <v>264</v>
      </c>
      <c r="L30" s="12" t="s">
        <v>65</v>
      </c>
      <c r="M30" s="12" t="s">
        <v>66</v>
      </c>
      <c r="N30" s="11" t="s">
        <v>67</v>
      </c>
      <c r="O30" s="11" t="s">
        <v>68</v>
      </c>
      <c r="P30" s="11" t="s">
        <v>85</v>
      </c>
      <c r="Q30" s="11" t="s">
        <v>67</v>
      </c>
      <c r="R30" s="11" t="s">
        <v>67</v>
      </c>
      <c r="S30" s="11" t="s">
        <v>70</v>
      </c>
      <c r="T30" s="13" t="s">
        <v>67</v>
      </c>
      <c r="U30" s="8"/>
      <c r="V30" s="8"/>
      <c r="W30" s="2"/>
    </row>
    <row r="31" spans="1:23" ht="48" customHeight="1">
      <c r="A31" s="11" t="s">
        <v>55</v>
      </c>
      <c r="B31" s="11" t="s">
        <v>13</v>
      </c>
      <c r="C31" s="11" t="s">
        <v>265</v>
      </c>
      <c r="D31" s="11" t="s">
        <v>266</v>
      </c>
      <c r="E31" s="11" t="s">
        <v>81</v>
      </c>
      <c r="F31" s="11" t="s">
        <v>59</v>
      </c>
      <c r="G31" s="11" t="s">
        <v>60</v>
      </c>
      <c r="H31" s="11" t="s">
        <v>200</v>
      </c>
      <c r="I31" s="11" t="s">
        <v>267</v>
      </c>
      <c r="J31" s="11" t="s">
        <v>268</v>
      </c>
      <c r="K31" s="11" t="s">
        <v>269</v>
      </c>
      <c r="L31" s="12" t="s">
        <v>23</v>
      </c>
      <c r="M31" s="12" t="s">
        <v>66</v>
      </c>
      <c r="N31" s="11" t="s">
        <v>67</v>
      </c>
      <c r="O31" s="11" t="s">
        <v>68</v>
      </c>
      <c r="P31" s="11" t="s">
        <v>85</v>
      </c>
      <c r="Q31" s="11" t="s">
        <v>67</v>
      </c>
      <c r="R31" s="11" t="s">
        <v>67</v>
      </c>
      <c r="S31" s="11" t="s">
        <v>70</v>
      </c>
      <c r="T31" s="13" t="s">
        <v>67</v>
      </c>
      <c r="U31" s="8"/>
      <c r="V31" s="8"/>
      <c r="W31" s="2"/>
    </row>
    <row r="32" spans="1:23" ht="48" customHeight="1">
      <c r="A32" s="11" t="s">
        <v>55</v>
      </c>
      <c r="B32" s="11" t="s">
        <v>13</v>
      </c>
      <c r="C32" s="11" t="s">
        <v>270</v>
      </c>
      <c r="D32" s="11" t="s">
        <v>271</v>
      </c>
      <c r="E32" s="11" t="s">
        <v>272</v>
      </c>
      <c r="F32" s="11" t="s">
        <v>59</v>
      </c>
      <c r="G32" s="11" t="s">
        <v>60</v>
      </c>
      <c r="H32" s="11" t="s">
        <v>194</v>
      </c>
      <c r="I32" s="11" t="s">
        <v>273</v>
      </c>
      <c r="J32" s="11" t="s">
        <v>274</v>
      </c>
      <c r="K32" s="11" t="s">
        <v>275</v>
      </c>
      <c r="L32" s="12" t="s">
        <v>65</v>
      </c>
      <c r="M32" s="12" t="s">
        <v>66</v>
      </c>
      <c r="N32" s="11" t="s">
        <v>67</v>
      </c>
      <c r="O32" s="11" t="s">
        <v>68</v>
      </c>
      <c r="P32" s="11" t="s">
        <v>276</v>
      </c>
      <c r="Q32" s="11" t="s">
        <v>277</v>
      </c>
      <c r="R32" s="11" t="s">
        <v>67</v>
      </c>
      <c r="S32" s="11" t="s">
        <v>212</v>
      </c>
      <c r="T32" s="13" t="s">
        <v>67</v>
      </c>
      <c r="U32" s="8"/>
      <c r="V32" s="8"/>
      <c r="W32" s="2"/>
    </row>
    <row r="33" spans="1:23" ht="90" customHeight="1">
      <c r="A33" s="11" t="s">
        <v>55</v>
      </c>
      <c r="B33" s="11" t="s">
        <v>13</v>
      </c>
      <c r="C33" s="11" t="s">
        <v>278</v>
      </c>
      <c r="D33" s="11" t="s">
        <v>279</v>
      </c>
      <c r="E33" s="11" t="s">
        <v>272</v>
      </c>
      <c r="F33" s="11" t="s">
        <v>59</v>
      </c>
      <c r="G33" s="11" t="s">
        <v>60</v>
      </c>
      <c r="H33" s="11" t="s">
        <v>200</v>
      </c>
      <c r="I33" s="11" t="s">
        <v>280</v>
      </c>
      <c r="J33" s="11" t="s">
        <v>281</v>
      </c>
      <c r="K33" s="11" t="s">
        <v>282</v>
      </c>
      <c r="L33" s="12" t="s">
        <v>23</v>
      </c>
      <c r="M33" s="12" t="s">
        <v>66</v>
      </c>
      <c r="N33" s="11" t="s">
        <v>67</v>
      </c>
      <c r="O33" s="11" t="s">
        <v>68</v>
      </c>
      <c r="P33" s="11" t="s">
        <v>276</v>
      </c>
      <c r="Q33" s="11" t="s">
        <v>277</v>
      </c>
      <c r="R33" s="11" t="s">
        <v>67</v>
      </c>
      <c r="S33" s="11" t="s">
        <v>212</v>
      </c>
      <c r="T33" s="13" t="s">
        <v>67</v>
      </c>
      <c r="U33" s="8"/>
      <c r="V33" s="8"/>
      <c r="W33" s="2"/>
    </row>
    <row r="34" spans="1:23" ht="90" customHeight="1">
      <c r="A34" s="11" t="s">
        <v>55</v>
      </c>
      <c r="B34" s="11" t="s">
        <v>13</v>
      </c>
      <c r="C34" s="11" t="s">
        <v>283</v>
      </c>
      <c r="D34" s="11" t="s">
        <v>284</v>
      </c>
      <c r="E34" s="11" t="s">
        <v>73</v>
      </c>
      <c r="F34" s="11" t="s">
        <v>59</v>
      </c>
      <c r="G34" s="11" t="s">
        <v>60</v>
      </c>
      <c r="H34" s="11" t="s">
        <v>194</v>
      </c>
      <c r="I34" s="11" t="s">
        <v>285</v>
      </c>
      <c r="J34" s="15" t="s">
        <v>286</v>
      </c>
      <c r="K34" s="15" t="s">
        <v>287</v>
      </c>
      <c r="L34" s="12" t="s">
        <v>65</v>
      </c>
      <c r="M34" s="12" t="s">
        <v>66</v>
      </c>
      <c r="N34" s="11" t="s">
        <v>67</v>
      </c>
      <c r="O34" s="11" t="s">
        <v>68</v>
      </c>
      <c r="P34" s="11" t="s">
        <v>78</v>
      </c>
      <c r="Q34" s="11" t="s">
        <v>67</v>
      </c>
      <c r="R34" s="11" t="s">
        <v>67</v>
      </c>
      <c r="S34" s="11" t="s">
        <v>70</v>
      </c>
      <c r="T34" s="13" t="s">
        <v>67</v>
      </c>
      <c r="U34" s="8"/>
      <c r="V34" s="8"/>
      <c r="W34" s="2"/>
    </row>
    <row r="35" spans="1:23" ht="230.1" customHeight="1">
      <c r="A35" s="11" t="s">
        <v>55</v>
      </c>
      <c r="B35" s="11" t="s">
        <v>13</v>
      </c>
      <c r="C35" s="11" t="s">
        <v>288</v>
      </c>
      <c r="D35" s="11" t="s">
        <v>289</v>
      </c>
      <c r="E35" s="11" t="s">
        <v>73</v>
      </c>
      <c r="F35" s="11" t="s">
        <v>59</v>
      </c>
      <c r="G35" s="11" t="s">
        <v>60</v>
      </c>
      <c r="H35" s="11" t="s">
        <v>200</v>
      </c>
      <c r="I35" s="11" t="s">
        <v>290</v>
      </c>
      <c r="J35" s="15" t="s">
        <v>291</v>
      </c>
      <c r="K35" s="15" t="s">
        <v>292</v>
      </c>
      <c r="L35" s="12" t="s">
        <v>23</v>
      </c>
      <c r="M35" s="12" t="s">
        <v>66</v>
      </c>
      <c r="N35" s="11" t="s">
        <v>67</v>
      </c>
      <c r="O35" s="11" t="s">
        <v>68</v>
      </c>
      <c r="P35" s="11" t="s">
        <v>78</v>
      </c>
      <c r="Q35" s="11" t="s">
        <v>67</v>
      </c>
      <c r="R35" s="11" t="s">
        <v>67</v>
      </c>
      <c r="S35" s="11" t="s">
        <v>70</v>
      </c>
      <c r="T35" s="13" t="s">
        <v>67</v>
      </c>
      <c r="U35" s="8"/>
      <c r="V35" s="8"/>
      <c r="W35" s="2"/>
    </row>
    <row r="36" spans="1:23" ht="230.1" customHeight="1">
      <c r="A36" s="11" t="s">
        <v>55</v>
      </c>
      <c r="B36" s="11" t="s">
        <v>13</v>
      </c>
      <c r="C36" s="11" t="s">
        <v>293</v>
      </c>
      <c r="D36" s="11" t="s">
        <v>294</v>
      </c>
      <c r="E36" s="11" t="s">
        <v>102</v>
      </c>
      <c r="F36" s="11" t="s">
        <v>59</v>
      </c>
      <c r="G36" s="11" t="s">
        <v>60</v>
      </c>
      <c r="H36" s="11" t="s">
        <v>194</v>
      </c>
      <c r="I36" s="11" t="s">
        <v>295</v>
      </c>
      <c r="J36" s="14" t="s">
        <v>296</v>
      </c>
      <c r="K36" s="14" t="s">
        <v>297</v>
      </c>
      <c r="L36" s="12" t="s">
        <v>65</v>
      </c>
      <c r="M36" s="12" t="s">
        <v>66</v>
      </c>
      <c r="N36" s="11" t="s">
        <v>67</v>
      </c>
      <c r="O36" s="11" t="s">
        <v>68</v>
      </c>
      <c r="P36" s="11" t="s">
        <v>108</v>
      </c>
      <c r="Q36" s="11" t="s">
        <v>67</v>
      </c>
      <c r="R36" s="11" t="s">
        <v>67</v>
      </c>
      <c r="S36" s="11" t="s">
        <v>70</v>
      </c>
      <c r="T36" s="13" t="s">
        <v>67</v>
      </c>
      <c r="U36" s="8"/>
      <c r="V36" s="8"/>
      <c r="W36" s="2"/>
    </row>
    <row r="37" spans="1:23" ht="216" customHeight="1">
      <c r="A37" s="11" t="s">
        <v>55</v>
      </c>
      <c r="B37" s="11" t="s">
        <v>13</v>
      </c>
      <c r="C37" s="11" t="s">
        <v>298</v>
      </c>
      <c r="D37" s="11" t="s">
        <v>299</v>
      </c>
      <c r="E37" s="11" t="s">
        <v>102</v>
      </c>
      <c r="F37" s="11" t="s">
        <v>59</v>
      </c>
      <c r="G37" s="11" t="s">
        <v>60</v>
      </c>
      <c r="H37" s="11" t="s">
        <v>207</v>
      </c>
      <c r="I37" s="11" t="s">
        <v>300</v>
      </c>
      <c r="J37" s="14" t="s">
        <v>301</v>
      </c>
      <c r="K37" s="14" t="s">
        <v>302</v>
      </c>
      <c r="L37" s="12" t="s">
        <v>23</v>
      </c>
      <c r="M37" s="12" t="s">
        <v>66</v>
      </c>
      <c r="N37" s="11" t="s">
        <v>67</v>
      </c>
      <c r="O37" s="11" t="s">
        <v>68</v>
      </c>
      <c r="P37" s="11" t="s">
        <v>108</v>
      </c>
      <c r="Q37" s="11" t="s">
        <v>67</v>
      </c>
      <c r="R37" s="11" t="s">
        <v>67</v>
      </c>
      <c r="S37" s="11" t="s">
        <v>70</v>
      </c>
      <c r="T37" s="13" t="s">
        <v>67</v>
      </c>
      <c r="U37" s="8"/>
      <c r="V37" s="8"/>
      <c r="W37" s="2"/>
    </row>
    <row r="38" spans="1:23" ht="48" customHeight="1">
      <c r="A38" s="11" t="s">
        <v>55</v>
      </c>
      <c r="B38" s="11" t="s">
        <v>13</v>
      </c>
      <c r="C38" s="11" t="s">
        <v>303</v>
      </c>
      <c r="D38" s="11" t="s">
        <v>304</v>
      </c>
      <c r="E38" s="11" t="s">
        <v>102</v>
      </c>
      <c r="F38" s="11" t="s">
        <v>59</v>
      </c>
      <c r="G38" s="11" t="s">
        <v>60</v>
      </c>
      <c r="H38" s="11" t="s">
        <v>234</v>
      </c>
      <c r="I38" s="11" t="s">
        <v>235</v>
      </c>
      <c r="J38" s="14" t="s">
        <v>202</v>
      </c>
      <c r="K38" s="14" t="s">
        <v>305</v>
      </c>
      <c r="L38" s="12" t="s">
        <v>106</v>
      </c>
      <c r="M38" s="12" t="s">
        <v>67</v>
      </c>
      <c r="N38" s="11" t="s">
        <v>306</v>
      </c>
      <c r="O38" s="11" t="s">
        <v>68</v>
      </c>
      <c r="P38" s="11" t="s">
        <v>108</v>
      </c>
      <c r="Q38" s="11" t="s">
        <v>307</v>
      </c>
      <c r="R38" s="11" t="s">
        <v>67</v>
      </c>
      <c r="S38" s="11" t="s">
        <v>212</v>
      </c>
      <c r="T38" s="13" t="s">
        <v>67</v>
      </c>
      <c r="U38" s="8"/>
      <c r="V38" s="8"/>
      <c r="W38" s="2"/>
    </row>
    <row r="39" spans="1:23" ht="33.950000000000003" customHeight="1">
      <c r="A39" s="11" t="s">
        <v>55</v>
      </c>
      <c r="B39" s="11" t="s">
        <v>13</v>
      </c>
      <c r="C39" s="11" t="s">
        <v>308</v>
      </c>
      <c r="D39" s="11" t="s">
        <v>309</v>
      </c>
      <c r="E39" s="11" t="s">
        <v>111</v>
      </c>
      <c r="F39" s="11" t="s">
        <v>59</v>
      </c>
      <c r="G39" s="11" t="s">
        <v>60</v>
      </c>
      <c r="H39" s="11" t="s">
        <v>194</v>
      </c>
      <c r="I39" s="11" t="s">
        <v>310</v>
      </c>
      <c r="J39" s="11" t="s">
        <v>311</v>
      </c>
      <c r="K39" s="11" t="s">
        <v>312</v>
      </c>
      <c r="L39" s="12" t="s">
        <v>65</v>
      </c>
      <c r="M39" s="12" t="s">
        <v>66</v>
      </c>
      <c r="N39" s="11" t="s">
        <v>67</v>
      </c>
      <c r="O39" s="11" t="s">
        <v>68</v>
      </c>
      <c r="P39" s="11" t="s">
        <v>67</v>
      </c>
      <c r="Q39" s="11" t="s">
        <v>115</v>
      </c>
      <c r="R39" s="11" t="s">
        <v>67</v>
      </c>
      <c r="S39" s="11" t="s">
        <v>70</v>
      </c>
      <c r="T39" s="13" t="s">
        <v>67</v>
      </c>
      <c r="U39" s="8"/>
      <c r="V39" s="8"/>
      <c r="W39" s="2"/>
    </row>
    <row r="40" spans="1:23" ht="48" customHeight="1">
      <c r="A40" s="11" t="s">
        <v>55</v>
      </c>
      <c r="B40" s="11" t="s">
        <v>13</v>
      </c>
      <c r="C40" s="11" t="s">
        <v>313</v>
      </c>
      <c r="D40" s="11" t="s">
        <v>314</v>
      </c>
      <c r="E40" s="11" t="s">
        <v>111</v>
      </c>
      <c r="F40" s="11" t="s">
        <v>59</v>
      </c>
      <c r="G40" s="11" t="s">
        <v>60</v>
      </c>
      <c r="H40" s="11" t="s">
        <v>200</v>
      </c>
      <c r="I40" s="11" t="s">
        <v>315</v>
      </c>
      <c r="J40" s="14" t="s">
        <v>202</v>
      </c>
      <c r="K40" s="14" t="s">
        <v>316</v>
      </c>
      <c r="L40" s="12" t="s">
        <v>106</v>
      </c>
      <c r="M40" s="12" t="s">
        <v>67</v>
      </c>
      <c r="N40" s="11" t="s">
        <v>317</v>
      </c>
      <c r="O40" s="11" t="s">
        <v>68</v>
      </c>
      <c r="P40" s="11">
        <v>4</v>
      </c>
      <c r="Q40" s="11" t="s">
        <v>115</v>
      </c>
      <c r="R40" s="11" t="s">
        <v>67</v>
      </c>
      <c r="S40" s="11" t="s">
        <v>212</v>
      </c>
      <c r="T40" s="13" t="s">
        <v>67</v>
      </c>
      <c r="U40" s="8"/>
      <c r="V40" s="8"/>
      <c r="W40" s="2"/>
    </row>
    <row r="41" spans="1:23" ht="48" customHeight="1">
      <c r="A41" s="11" t="s">
        <v>55</v>
      </c>
      <c r="B41" s="11" t="s">
        <v>13</v>
      </c>
      <c r="C41" s="11" t="s">
        <v>318</v>
      </c>
      <c r="D41" s="11" t="s">
        <v>319</v>
      </c>
      <c r="E41" s="11" t="s">
        <v>111</v>
      </c>
      <c r="F41" s="11" t="s">
        <v>59</v>
      </c>
      <c r="G41" s="11" t="s">
        <v>60</v>
      </c>
      <c r="H41" s="11" t="s">
        <v>234</v>
      </c>
      <c r="I41" s="11" t="s">
        <v>320</v>
      </c>
      <c r="J41" s="11" t="s">
        <v>321</v>
      </c>
      <c r="K41" s="11" t="s">
        <v>322</v>
      </c>
      <c r="L41" s="12" t="s">
        <v>23</v>
      </c>
      <c r="M41" s="12" t="s">
        <v>66</v>
      </c>
      <c r="N41" s="11" t="s">
        <v>67</v>
      </c>
      <c r="O41" s="11" t="s">
        <v>68</v>
      </c>
      <c r="P41" s="11" t="s">
        <v>67</v>
      </c>
      <c r="Q41" s="11" t="s">
        <v>115</v>
      </c>
      <c r="R41" s="11" t="s">
        <v>67</v>
      </c>
      <c r="S41" s="11" t="s">
        <v>70</v>
      </c>
      <c r="T41" s="13" t="s">
        <v>67</v>
      </c>
      <c r="U41" s="8"/>
      <c r="V41" s="8"/>
      <c r="W41" s="2"/>
    </row>
    <row r="42" spans="1:23" ht="48" customHeight="1">
      <c r="A42" s="11" t="s">
        <v>55</v>
      </c>
      <c r="B42" s="11" t="s">
        <v>13</v>
      </c>
      <c r="C42" s="11" t="s">
        <v>323</v>
      </c>
      <c r="D42" s="11" t="s">
        <v>324</v>
      </c>
      <c r="E42" s="11" t="s">
        <v>325</v>
      </c>
      <c r="F42" s="11" t="s">
        <v>59</v>
      </c>
      <c r="G42" s="11" t="s">
        <v>60</v>
      </c>
      <c r="H42" s="11" t="s">
        <v>194</v>
      </c>
      <c r="I42" s="11" t="s">
        <v>326</v>
      </c>
      <c r="J42" s="14" t="s">
        <v>327</v>
      </c>
      <c r="K42" s="14" t="s">
        <v>328</v>
      </c>
      <c r="L42" s="12" t="s">
        <v>65</v>
      </c>
      <c r="M42" s="12" t="s">
        <v>66</v>
      </c>
      <c r="N42" s="11" t="s">
        <v>67</v>
      </c>
      <c r="O42" s="11" t="s">
        <v>329</v>
      </c>
      <c r="P42" s="11">
        <v>1</v>
      </c>
      <c r="Q42" s="11" t="s">
        <v>330</v>
      </c>
      <c r="R42" s="11" t="s">
        <v>67</v>
      </c>
      <c r="S42" s="11" t="s">
        <v>212</v>
      </c>
      <c r="T42" s="13" t="s">
        <v>67</v>
      </c>
      <c r="U42" s="8"/>
      <c r="V42" s="8"/>
      <c r="W42" s="2"/>
    </row>
    <row r="43" spans="1:23" ht="90" customHeight="1">
      <c r="A43" s="11" t="s">
        <v>55</v>
      </c>
      <c r="B43" s="11" t="s">
        <v>13</v>
      </c>
      <c r="C43" s="11" t="s">
        <v>255</v>
      </c>
      <c r="D43" s="11" t="s">
        <v>256</v>
      </c>
      <c r="E43" s="11" t="s">
        <v>325</v>
      </c>
      <c r="F43" s="11" t="s">
        <v>59</v>
      </c>
      <c r="G43" s="11" t="s">
        <v>60</v>
      </c>
      <c r="H43" s="11" t="s">
        <v>200</v>
      </c>
      <c r="I43" s="11" t="s">
        <v>331</v>
      </c>
      <c r="J43" s="11" t="s">
        <v>67</v>
      </c>
      <c r="K43" s="11" t="s">
        <v>332</v>
      </c>
      <c r="L43" s="12" t="s">
        <v>106</v>
      </c>
      <c r="M43" s="12" t="s">
        <v>67</v>
      </c>
      <c r="N43" s="11" t="s">
        <v>333</v>
      </c>
      <c r="O43" s="11" t="s">
        <v>329</v>
      </c>
      <c r="P43" s="11">
        <v>1</v>
      </c>
      <c r="Q43" s="11" t="s">
        <v>330</v>
      </c>
      <c r="R43" s="11" t="s">
        <v>67</v>
      </c>
      <c r="S43" s="11" t="s">
        <v>212</v>
      </c>
      <c r="T43" s="13" t="s">
        <v>67</v>
      </c>
      <c r="U43" s="8"/>
      <c r="V43" s="8"/>
      <c r="W43" s="2"/>
    </row>
    <row r="44" spans="1:23" ht="75.95" customHeight="1">
      <c r="A44" s="11" t="s">
        <v>55</v>
      </c>
      <c r="B44" s="11" t="s">
        <v>13</v>
      </c>
      <c r="C44" s="11" t="s">
        <v>334</v>
      </c>
      <c r="D44" s="11" t="s">
        <v>335</v>
      </c>
      <c r="E44" s="11" t="s">
        <v>88</v>
      </c>
      <c r="F44" s="11" t="s">
        <v>59</v>
      </c>
      <c r="G44" s="11" t="s">
        <v>60</v>
      </c>
      <c r="H44" s="11" t="s">
        <v>194</v>
      </c>
      <c r="I44" s="11" t="s">
        <v>336</v>
      </c>
      <c r="J44" s="11" t="s">
        <v>337</v>
      </c>
      <c r="K44" s="11" t="s">
        <v>338</v>
      </c>
      <c r="L44" s="12" t="s">
        <v>65</v>
      </c>
      <c r="M44" s="12" t="s">
        <v>66</v>
      </c>
      <c r="N44" s="11" t="s">
        <v>67</v>
      </c>
      <c r="O44" s="11" t="s">
        <v>92</v>
      </c>
      <c r="P44" s="11" t="s">
        <v>67</v>
      </c>
      <c r="Q44" s="11" t="s">
        <v>67</v>
      </c>
      <c r="R44" s="11" t="s">
        <v>67</v>
      </c>
      <c r="S44" s="11" t="s">
        <v>70</v>
      </c>
      <c r="T44" s="13" t="s">
        <v>67</v>
      </c>
      <c r="U44" s="8"/>
      <c r="V44" s="8"/>
      <c r="W44" s="2"/>
    </row>
    <row r="45" spans="1:23" ht="75.95" customHeight="1">
      <c r="A45" s="11" t="s">
        <v>55</v>
      </c>
      <c r="B45" s="11" t="s">
        <v>13</v>
      </c>
      <c r="C45" s="11" t="s">
        <v>339</v>
      </c>
      <c r="D45" s="11" t="s">
        <v>340</v>
      </c>
      <c r="E45" s="11" t="s">
        <v>88</v>
      </c>
      <c r="F45" s="11" t="s">
        <v>59</v>
      </c>
      <c r="G45" s="11" t="s">
        <v>60</v>
      </c>
      <c r="H45" s="11" t="s">
        <v>200</v>
      </c>
      <c r="I45" s="11" t="s">
        <v>341</v>
      </c>
      <c r="J45" s="14" t="s">
        <v>202</v>
      </c>
      <c r="K45" s="14" t="s">
        <v>342</v>
      </c>
      <c r="L45" s="12" t="s">
        <v>106</v>
      </c>
      <c r="M45" s="12" t="s">
        <v>67</v>
      </c>
      <c r="N45" s="11" t="s">
        <v>67</v>
      </c>
      <c r="O45" s="11" t="s">
        <v>92</v>
      </c>
      <c r="P45" s="11">
        <v>10</v>
      </c>
      <c r="Q45" s="11" t="s">
        <v>343</v>
      </c>
      <c r="R45" s="11" t="s">
        <v>67</v>
      </c>
      <c r="S45" s="11" t="s">
        <v>212</v>
      </c>
      <c r="T45" s="13" t="s">
        <v>67</v>
      </c>
      <c r="U45" s="8"/>
      <c r="V45" s="8"/>
      <c r="W45" s="2"/>
    </row>
    <row r="46" spans="1:23" ht="48" customHeight="1">
      <c r="A46" s="11" t="s">
        <v>55</v>
      </c>
      <c r="B46" s="11" t="s">
        <v>13</v>
      </c>
      <c r="C46" s="11" t="s">
        <v>344</v>
      </c>
      <c r="D46" s="11" t="s">
        <v>345</v>
      </c>
      <c r="E46" s="11" t="s">
        <v>88</v>
      </c>
      <c r="F46" s="11" t="s">
        <v>59</v>
      </c>
      <c r="G46" s="11" t="s">
        <v>60</v>
      </c>
      <c r="H46" s="11" t="s">
        <v>346</v>
      </c>
      <c r="I46" s="11" t="s">
        <v>347</v>
      </c>
      <c r="J46" s="11" t="s">
        <v>348</v>
      </c>
      <c r="K46" s="11" t="s">
        <v>349</v>
      </c>
      <c r="L46" s="12" t="s">
        <v>23</v>
      </c>
      <c r="M46" s="12" t="s">
        <v>66</v>
      </c>
      <c r="N46" s="11" t="s">
        <v>67</v>
      </c>
      <c r="O46" s="11" t="s">
        <v>92</v>
      </c>
      <c r="P46" s="11">
        <v>10</v>
      </c>
      <c r="Q46" s="11" t="s">
        <v>343</v>
      </c>
      <c r="R46" s="11" t="s">
        <v>67</v>
      </c>
      <c r="S46" s="11" t="s">
        <v>212</v>
      </c>
      <c r="T46" s="13" t="s">
        <v>67</v>
      </c>
      <c r="U46" s="8"/>
      <c r="V46" s="8"/>
      <c r="W46" s="2"/>
    </row>
    <row r="47" spans="1:23" ht="33.950000000000003" customHeight="1">
      <c r="A47" s="11" t="s">
        <v>55</v>
      </c>
      <c r="B47" s="11" t="s">
        <v>13</v>
      </c>
      <c r="C47" s="11" t="s">
        <v>350</v>
      </c>
      <c r="D47" s="11" t="s">
        <v>351</v>
      </c>
      <c r="E47" s="11" t="s">
        <v>352</v>
      </c>
      <c r="F47" s="11" t="s">
        <v>59</v>
      </c>
      <c r="G47" s="11" t="s">
        <v>60</v>
      </c>
      <c r="H47" s="11" t="s">
        <v>194</v>
      </c>
      <c r="I47" s="14" t="s">
        <v>353</v>
      </c>
      <c r="J47" s="11" t="s">
        <v>354</v>
      </c>
      <c r="K47" s="11" t="s">
        <v>355</v>
      </c>
      <c r="L47" s="12" t="s">
        <v>65</v>
      </c>
      <c r="M47" s="12" t="s">
        <v>66</v>
      </c>
      <c r="N47" s="11" t="s">
        <v>67</v>
      </c>
      <c r="O47" s="11" t="s">
        <v>92</v>
      </c>
      <c r="P47" s="11">
        <v>10</v>
      </c>
      <c r="Q47" s="11" t="s">
        <v>343</v>
      </c>
      <c r="R47" s="11" t="s">
        <v>67</v>
      </c>
      <c r="S47" s="11" t="s">
        <v>212</v>
      </c>
      <c r="T47" s="13" t="s">
        <v>67</v>
      </c>
      <c r="U47" s="8"/>
      <c r="V47" s="8"/>
      <c r="W47" s="2"/>
    </row>
    <row r="48" spans="1:23" ht="48" customHeight="1">
      <c r="A48" s="11" t="s">
        <v>55</v>
      </c>
      <c r="B48" s="11" t="s">
        <v>13</v>
      </c>
      <c r="C48" s="11" t="s">
        <v>356</v>
      </c>
      <c r="D48" s="11" t="s">
        <v>357</v>
      </c>
      <c r="E48" s="11" t="s">
        <v>352</v>
      </c>
      <c r="F48" s="11" t="s">
        <v>59</v>
      </c>
      <c r="G48" s="11" t="s">
        <v>60</v>
      </c>
      <c r="H48" s="11" t="s">
        <v>200</v>
      </c>
      <c r="I48" s="11" t="s">
        <v>341</v>
      </c>
      <c r="J48" s="14" t="s">
        <v>202</v>
      </c>
      <c r="K48" s="14" t="s">
        <v>358</v>
      </c>
      <c r="L48" s="12" t="s">
        <v>106</v>
      </c>
      <c r="M48" s="12" t="s">
        <v>67</v>
      </c>
      <c r="N48" s="11" t="s">
        <v>67</v>
      </c>
      <c r="O48" s="11" t="s">
        <v>92</v>
      </c>
      <c r="P48" s="11">
        <v>10</v>
      </c>
      <c r="Q48" s="11" t="s">
        <v>343</v>
      </c>
      <c r="R48" s="11" t="s">
        <v>67</v>
      </c>
      <c r="S48" s="11" t="s">
        <v>212</v>
      </c>
      <c r="T48" s="13" t="s">
        <v>67</v>
      </c>
      <c r="U48" s="8"/>
      <c r="V48" s="8"/>
      <c r="W48" s="2"/>
    </row>
    <row r="49" spans="1:23" ht="62.1" customHeight="1">
      <c r="A49" s="11" t="s">
        <v>55</v>
      </c>
      <c r="B49" s="11" t="s">
        <v>13</v>
      </c>
      <c r="C49" s="11" t="s">
        <v>359</v>
      </c>
      <c r="D49" s="11" t="s">
        <v>360</v>
      </c>
      <c r="E49" s="11" t="s">
        <v>352</v>
      </c>
      <c r="F49" s="11" t="s">
        <v>59</v>
      </c>
      <c r="G49" s="11" t="s">
        <v>60</v>
      </c>
      <c r="H49" s="11" t="s">
        <v>346</v>
      </c>
      <c r="I49" s="11" t="s">
        <v>361</v>
      </c>
      <c r="J49" s="11" t="s">
        <v>362</v>
      </c>
      <c r="K49" s="11" t="s">
        <v>363</v>
      </c>
      <c r="L49" s="12" t="s">
        <v>23</v>
      </c>
      <c r="M49" s="12" t="s">
        <v>66</v>
      </c>
      <c r="N49" s="11" t="s">
        <v>67</v>
      </c>
      <c r="O49" s="11" t="s">
        <v>92</v>
      </c>
      <c r="P49" s="11">
        <v>10</v>
      </c>
      <c r="Q49" s="11" t="s">
        <v>343</v>
      </c>
      <c r="R49" s="11" t="s">
        <v>67</v>
      </c>
      <c r="S49" s="11" t="s">
        <v>212</v>
      </c>
      <c r="T49" s="13" t="s">
        <v>67</v>
      </c>
      <c r="U49" s="8"/>
      <c r="V49" s="8"/>
      <c r="W49" s="2"/>
    </row>
    <row r="50" spans="1:23" ht="48" customHeight="1">
      <c r="A50" s="11" t="s">
        <v>55</v>
      </c>
      <c r="B50" s="11" t="s">
        <v>13</v>
      </c>
      <c r="C50" s="11" t="s">
        <v>364</v>
      </c>
      <c r="D50" s="11" t="s">
        <v>365</v>
      </c>
      <c r="E50" s="11" t="s">
        <v>95</v>
      </c>
      <c r="F50" s="11" t="s">
        <v>59</v>
      </c>
      <c r="G50" s="11" t="s">
        <v>60</v>
      </c>
      <c r="H50" s="11" t="s">
        <v>194</v>
      </c>
      <c r="I50" s="11" t="s">
        <v>366</v>
      </c>
      <c r="J50" s="11" t="s">
        <v>367</v>
      </c>
      <c r="K50" s="11" t="s">
        <v>368</v>
      </c>
      <c r="L50" s="12" t="s">
        <v>65</v>
      </c>
      <c r="M50" s="12" t="s">
        <v>66</v>
      </c>
      <c r="N50" s="11" t="s">
        <v>67</v>
      </c>
      <c r="O50" s="11" t="s">
        <v>68</v>
      </c>
      <c r="P50" s="11" t="s">
        <v>67</v>
      </c>
      <c r="Q50" s="11" t="s">
        <v>99</v>
      </c>
      <c r="R50" s="11" t="s">
        <v>67</v>
      </c>
      <c r="S50" s="11" t="s">
        <v>70</v>
      </c>
      <c r="T50" s="13" t="s">
        <v>67</v>
      </c>
      <c r="U50" s="8"/>
      <c r="V50" s="8"/>
      <c r="W50" s="2"/>
    </row>
    <row r="51" spans="1:23" ht="62.1" customHeight="1">
      <c r="A51" s="11" t="s">
        <v>55</v>
      </c>
      <c r="B51" s="11" t="s">
        <v>13</v>
      </c>
      <c r="C51" s="11" t="s">
        <v>369</v>
      </c>
      <c r="D51" s="11" t="s">
        <v>370</v>
      </c>
      <c r="E51" s="11" t="s">
        <v>95</v>
      </c>
      <c r="F51" s="11" t="s">
        <v>59</v>
      </c>
      <c r="G51" s="11" t="s">
        <v>60</v>
      </c>
      <c r="H51" s="11" t="s">
        <v>200</v>
      </c>
      <c r="I51" s="11" t="s">
        <v>371</v>
      </c>
      <c r="J51" s="11" t="s">
        <v>372</v>
      </c>
      <c r="K51" s="11" t="s">
        <v>373</v>
      </c>
      <c r="L51" s="12" t="s">
        <v>106</v>
      </c>
      <c r="M51" s="12" t="s">
        <v>67</v>
      </c>
      <c r="N51" s="11" t="s">
        <v>374</v>
      </c>
      <c r="O51" s="11" t="s">
        <v>68</v>
      </c>
      <c r="P51" s="11">
        <v>11</v>
      </c>
      <c r="Q51" s="11" t="s">
        <v>99</v>
      </c>
      <c r="R51" s="11" t="s">
        <v>67</v>
      </c>
      <c r="S51" s="11" t="s">
        <v>212</v>
      </c>
      <c r="T51" s="13" t="s">
        <v>67</v>
      </c>
      <c r="U51" s="8"/>
      <c r="V51" s="8"/>
      <c r="W51" s="2"/>
    </row>
    <row r="52" spans="1:23" ht="62.1" customHeight="1">
      <c r="A52" s="11" t="s">
        <v>55</v>
      </c>
      <c r="B52" s="11" t="s">
        <v>13</v>
      </c>
      <c r="C52" s="11" t="s">
        <v>375</v>
      </c>
      <c r="D52" s="11" t="s">
        <v>376</v>
      </c>
      <c r="E52" s="11" t="s">
        <v>95</v>
      </c>
      <c r="F52" s="11" t="s">
        <v>59</v>
      </c>
      <c r="G52" s="11" t="s">
        <v>60</v>
      </c>
      <c r="H52" s="11" t="s">
        <v>234</v>
      </c>
      <c r="I52" s="14" t="s">
        <v>377</v>
      </c>
      <c r="J52" s="11" t="s">
        <v>378</v>
      </c>
      <c r="K52" s="11" t="s">
        <v>379</v>
      </c>
      <c r="L52" s="12" t="s">
        <v>23</v>
      </c>
      <c r="M52" s="12" t="s">
        <v>66</v>
      </c>
      <c r="N52" s="11" t="s">
        <v>67</v>
      </c>
      <c r="O52" s="11" t="s">
        <v>68</v>
      </c>
      <c r="P52" s="11" t="s">
        <v>67</v>
      </c>
      <c r="Q52" s="11" t="s">
        <v>99</v>
      </c>
      <c r="R52" s="11" t="s">
        <v>67</v>
      </c>
      <c r="S52" s="11" t="s">
        <v>70</v>
      </c>
      <c r="T52" s="13" t="s">
        <v>67</v>
      </c>
      <c r="U52" s="8"/>
      <c r="V52" s="8"/>
      <c r="W52" s="2"/>
    </row>
    <row r="53" spans="1:23" ht="62.1" customHeight="1">
      <c r="A53" s="11" t="s">
        <v>55</v>
      </c>
      <c r="B53" s="11" t="s">
        <v>13</v>
      </c>
      <c r="C53" s="11" t="s">
        <v>380</v>
      </c>
      <c r="D53" s="11" t="s">
        <v>381</v>
      </c>
      <c r="E53" s="11" t="s">
        <v>382</v>
      </c>
      <c r="F53" s="11" t="s">
        <v>59</v>
      </c>
      <c r="G53" s="11" t="s">
        <v>60</v>
      </c>
      <c r="H53" s="11" t="s">
        <v>194</v>
      </c>
      <c r="I53" s="11" t="s">
        <v>383</v>
      </c>
      <c r="J53" s="11" t="s">
        <v>384</v>
      </c>
      <c r="K53" s="11" t="s">
        <v>385</v>
      </c>
      <c r="L53" s="12" t="s">
        <v>65</v>
      </c>
      <c r="M53" s="12" t="s">
        <v>66</v>
      </c>
      <c r="N53" s="11" t="s">
        <v>67</v>
      </c>
      <c r="O53" s="11" t="s">
        <v>68</v>
      </c>
      <c r="P53" s="11">
        <v>1</v>
      </c>
      <c r="Q53" s="11" t="s">
        <v>386</v>
      </c>
      <c r="R53" s="11" t="s">
        <v>67</v>
      </c>
      <c r="S53" s="11" t="s">
        <v>212</v>
      </c>
      <c r="T53" s="13" t="s">
        <v>67</v>
      </c>
      <c r="U53" s="8"/>
      <c r="V53" s="8"/>
      <c r="W53" s="2"/>
    </row>
    <row r="54" spans="1:23" ht="48" customHeight="1">
      <c r="A54" s="11" t="s">
        <v>55</v>
      </c>
      <c r="B54" s="11" t="s">
        <v>13</v>
      </c>
      <c r="C54" s="11" t="s">
        <v>387</v>
      </c>
      <c r="D54" s="11" t="s">
        <v>388</v>
      </c>
      <c r="E54" s="11" t="s">
        <v>382</v>
      </c>
      <c r="F54" s="11" t="s">
        <v>59</v>
      </c>
      <c r="G54" s="11" t="s">
        <v>60</v>
      </c>
      <c r="H54" s="11" t="s">
        <v>234</v>
      </c>
      <c r="I54" s="11" t="s">
        <v>389</v>
      </c>
      <c r="J54" s="14" t="s">
        <v>390</v>
      </c>
      <c r="K54" s="14" t="s">
        <v>391</v>
      </c>
      <c r="L54" s="12" t="s">
        <v>23</v>
      </c>
      <c r="M54" s="12" t="s">
        <v>66</v>
      </c>
      <c r="N54" s="11" t="s">
        <v>67</v>
      </c>
      <c r="O54" s="11" t="s">
        <v>68</v>
      </c>
      <c r="P54" s="11">
        <v>1</v>
      </c>
      <c r="Q54" s="11" t="s">
        <v>386</v>
      </c>
      <c r="R54" s="11" t="s">
        <v>67</v>
      </c>
      <c r="S54" s="11" t="s">
        <v>212</v>
      </c>
      <c r="T54" s="13" t="s">
        <v>67</v>
      </c>
      <c r="U54" s="8"/>
      <c r="V54" s="8"/>
      <c r="W54" s="2"/>
    </row>
    <row r="55" spans="1:23" ht="48" customHeight="1">
      <c r="A55" s="11" t="s">
        <v>55</v>
      </c>
      <c r="B55" s="11" t="s">
        <v>13</v>
      </c>
      <c r="C55" s="11" t="s">
        <v>392</v>
      </c>
      <c r="D55" s="11" t="s">
        <v>393</v>
      </c>
      <c r="E55" s="11" t="s">
        <v>394</v>
      </c>
      <c r="F55" s="11" t="s">
        <v>59</v>
      </c>
      <c r="G55" s="11" t="s">
        <v>60</v>
      </c>
      <c r="H55" s="11" t="s">
        <v>194</v>
      </c>
      <c r="I55" s="11" t="s">
        <v>383</v>
      </c>
      <c r="J55" s="11" t="s">
        <v>395</v>
      </c>
      <c r="K55" s="11" t="s">
        <v>396</v>
      </c>
      <c r="L55" s="12" t="s">
        <v>65</v>
      </c>
      <c r="M55" s="12" t="s">
        <v>66</v>
      </c>
      <c r="N55" s="11" t="s">
        <v>67</v>
      </c>
      <c r="O55" s="11" t="s">
        <v>68</v>
      </c>
      <c r="P55" s="11">
        <v>1</v>
      </c>
      <c r="Q55" s="11" t="s">
        <v>397</v>
      </c>
      <c r="R55" s="11" t="s">
        <v>67</v>
      </c>
      <c r="S55" s="11" t="s">
        <v>212</v>
      </c>
      <c r="T55" s="13" t="s">
        <v>67</v>
      </c>
      <c r="U55" s="8"/>
      <c r="V55" s="8"/>
      <c r="W55" s="2"/>
    </row>
    <row r="56" spans="1:23" ht="48" customHeight="1">
      <c r="A56" s="11" t="s">
        <v>55</v>
      </c>
      <c r="B56" s="11" t="s">
        <v>13</v>
      </c>
      <c r="C56" s="11" t="s">
        <v>398</v>
      </c>
      <c r="D56" s="11" t="s">
        <v>399</v>
      </c>
      <c r="E56" s="11" t="s">
        <v>394</v>
      </c>
      <c r="F56" s="11" t="s">
        <v>59</v>
      </c>
      <c r="G56" s="11" t="s">
        <v>60</v>
      </c>
      <c r="H56" s="11" t="s">
        <v>200</v>
      </c>
      <c r="I56" s="11" t="s">
        <v>400</v>
      </c>
      <c r="J56" s="14" t="s">
        <v>202</v>
      </c>
      <c r="K56" s="14" t="s">
        <v>401</v>
      </c>
      <c r="L56" s="12" t="s">
        <v>106</v>
      </c>
      <c r="M56" s="12" t="s">
        <v>67</v>
      </c>
      <c r="N56" s="11" t="s">
        <v>67</v>
      </c>
      <c r="O56" s="11" t="s">
        <v>68</v>
      </c>
      <c r="P56" s="11">
        <v>1</v>
      </c>
      <c r="Q56" s="11" t="s">
        <v>397</v>
      </c>
      <c r="R56" s="11" t="s">
        <v>67</v>
      </c>
      <c r="S56" s="11" t="s">
        <v>212</v>
      </c>
      <c r="T56" s="13" t="s">
        <v>67</v>
      </c>
      <c r="U56" s="8"/>
      <c r="V56" s="8"/>
      <c r="W56" s="2"/>
    </row>
    <row r="57" spans="1:23" ht="48" customHeight="1">
      <c r="A57" s="11" t="s">
        <v>55</v>
      </c>
      <c r="B57" s="11" t="s">
        <v>13</v>
      </c>
      <c r="C57" s="11" t="s">
        <v>402</v>
      </c>
      <c r="D57" s="11" t="s">
        <v>403</v>
      </c>
      <c r="E57" s="11" t="s">
        <v>394</v>
      </c>
      <c r="F57" s="11" t="s">
        <v>59</v>
      </c>
      <c r="G57" s="11" t="s">
        <v>60</v>
      </c>
      <c r="H57" s="11" t="s">
        <v>234</v>
      </c>
      <c r="I57" s="11" t="s">
        <v>404</v>
      </c>
      <c r="J57" s="11" t="s">
        <v>405</v>
      </c>
      <c r="K57" s="11" t="s">
        <v>406</v>
      </c>
      <c r="L57" s="12" t="s">
        <v>23</v>
      </c>
      <c r="M57" s="12" t="s">
        <v>66</v>
      </c>
      <c r="N57" s="11" t="s">
        <v>67</v>
      </c>
      <c r="O57" s="11" t="s">
        <v>68</v>
      </c>
      <c r="P57" s="11">
        <v>1</v>
      </c>
      <c r="Q57" s="11" t="s">
        <v>397</v>
      </c>
      <c r="R57" s="11" t="s">
        <v>67</v>
      </c>
      <c r="S57" s="11" t="s">
        <v>212</v>
      </c>
      <c r="T57" s="13" t="s">
        <v>67</v>
      </c>
      <c r="U57" s="8"/>
      <c r="V57" s="8"/>
      <c r="W57" s="2"/>
    </row>
    <row r="58" spans="1:23" ht="33.950000000000003" customHeight="1">
      <c r="A58" s="11" t="s">
        <v>55</v>
      </c>
      <c r="B58" s="11" t="s">
        <v>13</v>
      </c>
      <c r="C58" s="11" t="s">
        <v>407</v>
      </c>
      <c r="D58" s="11" t="s">
        <v>408</v>
      </c>
      <c r="E58" s="11" t="s">
        <v>409</v>
      </c>
      <c r="F58" s="11" t="s">
        <v>59</v>
      </c>
      <c r="G58" s="11" t="s">
        <v>60</v>
      </c>
      <c r="H58" s="11" t="s">
        <v>194</v>
      </c>
      <c r="I58" s="11" t="s">
        <v>410</v>
      </c>
      <c r="J58" s="11" t="s">
        <v>411</v>
      </c>
      <c r="K58" s="11" t="s">
        <v>412</v>
      </c>
      <c r="L58" s="12" t="s">
        <v>65</v>
      </c>
      <c r="M58" s="12" t="s">
        <v>66</v>
      </c>
      <c r="N58" s="11" t="s">
        <v>67</v>
      </c>
      <c r="O58" s="11" t="s">
        <v>92</v>
      </c>
      <c r="P58" s="11">
        <v>10</v>
      </c>
      <c r="Q58" s="11" t="s">
        <v>343</v>
      </c>
      <c r="R58" s="11" t="s">
        <v>67</v>
      </c>
      <c r="S58" s="11" t="s">
        <v>212</v>
      </c>
      <c r="T58" s="13" t="s">
        <v>67</v>
      </c>
      <c r="U58" s="8"/>
      <c r="V58" s="8"/>
      <c r="W58" s="2"/>
    </row>
    <row r="59" spans="1:23" ht="104.1" customHeight="1">
      <c r="A59" s="11" t="s">
        <v>55</v>
      </c>
      <c r="B59" s="11" t="s">
        <v>13</v>
      </c>
      <c r="C59" s="11" t="s">
        <v>413</v>
      </c>
      <c r="D59" s="11" t="s">
        <v>414</v>
      </c>
      <c r="E59" s="11" t="s">
        <v>409</v>
      </c>
      <c r="F59" s="11" t="s">
        <v>59</v>
      </c>
      <c r="G59" s="11" t="s">
        <v>60</v>
      </c>
      <c r="H59" s="11" t="s">
        <v>200</v>
      </c>
      <c r="I59" s="11" t="s">
        <v>341</v>
      </c>
      <c r="J59" s="11" t="s">
        <v>415</v>
      </c>
      <c r="K59" s="11" t="s">
        <v>416</v>
      </c>
      <c r="L59" s="12" t="s">
        <v>106</v>
      </c>
      <c r="M59" s="12" t="s">
        <v>67</v>
      </c>
      <c r="N59" s="11" t="s">
        <v>417</v>
      </c>
      <c r="O59" s="11" t="s">
        <v>92</v>
      </c>
      <c r="P59" s="11">
        <v>10</v>
      </c>
      <c r="Q59" s="11" t="s">
        <v>343</v>
      </c>
      <c r="R59" s="11" t="s">
        <v>67</v>
      </c>
      <c r="S59" s="11" t="s">
        <v>212</v>
      </c>
      <c r="T59" s="13" t="s">
        <v>67</v>
      </c>
      <c r="U59" s="8"/>
      <c r="V59" s="8"/>
      <c r="W59" s="2"/>
    </row>
    <row r="60" spans="1:23" ht="48" customHeight="1">
      <c r="A60" s="11" t="s">
        <v>55</v>
      </c>
      <c r="B60" s="11" t="s">
        <v>13</v>
      </c>
      <c r="C60" s="11" t="s">
        <v>418</v>
      </c>
      <c r="D60" s="11" t="s">
        <v>419</v>
      </c>
      <c r="E60" s="11" t="s">
        <v>409</v>
      </c>
      <c r="F60" s="11" t="s">
        <v>59</v>
      </c>
      <c r="G60" s="11" t="s">
        <v>60</v>
      </c>
      <c r="H60" s="11" t="s">
        <v>234</v>
      </c>
      <c r="I60" s="11" t="s">
        <v>235</v>
      </c>
      <c r="J60" s="11" t="s">
        <v>420</v>
      </c>
      <c r="K60" s="11" t="s">
        <v>421</v>
      </c>
      <c r="L60" s="12" t="s">
        <v>106</v>
      </c>
      <c r="M60" s="12" t="s">
        <v>67</v>
      </c>
      <c r="N60" s="11" t="s">
        <v>417</v>
      </c>
      <c r="O60" s="11" t="s">
        <v>92</v>
      </c>
      <c r="P60" s="11">
        <v>10</v>
      </c>
      <c r="Q60" s="11" t="s">
        <v>343</v>
      </c>
      <c r="R60" s="11" t="s">
        <v>67</v>
      </c>
      <c r="S60" s="11" t="s">
        <v>212</v>
      </c>
      <c r="T60" s="13" t="s">
        <v>67</v>
      </c>
      <c r="U60" s="8"/>
      <c r="V60" s="8"/>
      <c r="W60" s="2"/>
    </row>
    <row r="61" spans="1:23" ht="48" customHeight="1">
      <c r="A61" s="11" t="s">
        <v>55</v>
      </c>
      <c r="B61" s="11" t="s">
        <v>13</v>
      </c>
      <c r="C61" s="11" t="s">
        <v>422</v>
      </c>
      <c r="D61" s="11" t="s">
        <v>423</v>
      </c>
      <c r="E61" s="11" t="s">
        <v>409</v>
      </c>
      <c r="F61" s="11" t="s">
        <v>59</v>
      </c>
      <c r="G61" s="11" t="s">
        <v>60</v>
      </c>
      <c r="H61" s="11" t="s">
        <v>346</v>
      </c>
      <c r="I61" s="11" t="s">
        <v>424</v>
      </c>
      <c r="J61" s="11" t="s">
        <v>425</v>
      </c>
      <c r="K61" s="11" t="s">
        <v>426</v>
      </c>
      <c r="L61" s="12" t="s">
        <v>23</v>
      </c>
      <c r="M61" s="12" t="s">
        <v>66</v>
      </c>
      <c r="N61" s="11" t="s">
        <v>67</v>
      </c>
      <c r="O61" s="11" t="s">
        <v>92</v>
      </c>
      <c r="P61" s="11">
        <v>10</v>
      </c>
      <c r="Q61" s="11" t="s">
        <v>343</v>
      </c>
      <c r="R61" s="11" t="s">
        <v>67</v>
      </c>
      <c r="S61" s="11" t="s">
        <v>212</v>
      </c>
      <c r="T61" s="13" t="s">
        <v>67</v>
      </c>
      <c r="U61" s="8"/>
      <c r="V61" s="8"/>
      <c r="W61" s="2"/>
    </row>
    <row r="62" spans="1:23" ht="48" customHeight="1">
      <c r="A62" s="11" t="s">
        <v>55</v>
      </c>
      <c r="B62" s="11" t="s">
        <v>13</v>
      </c>
      <c r="C62" s="11" t="s">
        <v>427</v>
      </c>
      <c r="D62" s="11" t="s">
        <v>428</v>
      </c>
      <c r="E62" s="11" t="s">
        <v>429</v>
      </c>
      <c r="F62" s="11" t="s">
        <v>59</v>
      </c>
      <c r="G62" s="11" t="s">
        <v>60</v>
      </c>
      <c r="H62" s="11" t="s">
        <v>194</v>
      </c>
      <c r="I62" s="11" t="s">
        <v>224</v>
      </c>
      <c r="J62" s="11" t="s">
        <v>430</v>
      </c>
      <c r="K62" s="11" t="s">
        <v>431</v>
      </c>
      <c r="L62" s="12" t="s">
        <v>65</v>
      </c>
      <c r="M62" s="12" t="s">
        <v>66</v>
      </c>
      <c r="N62" s="11" t="s">
        <v>67</v>
      </c>
      <c r="O62" s="11" t="s">
        <v>68</v>
      </c>
      <c r="P62" s="11">
        <v>2</v>
      </c>
      <c r="Q62" s="11" t="s">
        <v>432</v>
      </c>
      <c r="R62" s="11" t="s">
        <v>67</v>
      </c>
      <c r="S62" s="11" t="s">
        <v>212</v>
      </c>
      <c r="T62" s="13" t="s">
        <v>67</v>
      </c>
      <c r="U62" s="8"/>
      <c r="V62" s="8"/>
      <c r="W62" s="2"/>
    </row>
    <row r="63" spans="1:23" ht="48" customHeight="1">
      <c r="A63" s="11" t="s">
        <v>55</v>
      </c>
      <c r="B63" s="11" t="s">
        <v>13</v>
      </c>
      <c r="C63" s="11" t="s">
        <v>433</v>
      </c>
      <c r="D63" s="11" t="s">
        <v>434</v>
      </c>
      <c r="E63" s="11" t="s">
        <v>429</v>
      </c>
      <c r="F63" s="11" t="s">
        <v>59</v>
      </c>
      <c r="G63" s="11" t="s">
        <v>60</v>
      </c>
      <c r="H63" s="11" t="s">
        <v>234</v>
      </c>
      <c r="I63" s="11" t="s">
        <v>435</v>
      </c>
      <c r="J63" s="11" t="s">
        <v>436</v>
      </c>
      <c r="K63" s="11" t="s">
        <v>437</v>
      </c>
      <c r="L63" s="12" t="s">
        <v>23</v>
      </c>
      <c r="M63" s="12" t="s">
        <v>66</v>
      </c>
      <c r="N63" s="11" t="s">
        <v>438</v>
      </c>
      <c r="O63" s="11" t="s">
        <v>68</v>
      </c>
      <c r="P63" s="11">
        <v>2</v>
      </c>
      <c r="Q63" s="11" t="s">
        <v>432</v>
      </c>
      <c r="R63" s="11" t="s">
        <v>67</v>
      </c>
      <c r="S63" s="11" t="s">
        <v>212</v>
      </c>
      <c r="T63" s="13" t="s">
        <v>67</v>
      </c>
      <c r="U63" s="8"/>
      <c r="V63" s="8"/>
      <c r="W63" s="2"/>
    </row>
    <row r="64" spans="1:23" ht="48" customHeight="1">
      <c r="A64" s="11" t="s">
        <v>55</v>
      </c>
      <c r="B64" s="11" t="s">
        <v>13</v>
      </c>
      <c r="C64" s="11" t="s">
        <v>433</v>
      </c>
      <c r="D64" s="11" t="s">
        <v>434</v>
      </c>
      <c r="E64" s="11" t="s">
        <v>429</v>
      </c>
      <c r="F64" s="11" t="s">
        <v>59</v>
      </c>
      <c r="G64" s="11" t="s">
        <v>60</v>
      </c>
      <c r="H64" s="11" t="s">
        <v>200</v>
      </c>
      <c r="I64" s="11" t="s">
        <v>439</v>
      </c>
      <c r="J64" s="11" t="s">
        <v>440</v>
      </c>
      <c r="K64" s="11" t="s">
        <v>441</v>
      </c>
      <c r="L64" s="12" t="s">
        <v>106</v>
      </c>
      <c r="M64" s="12" t="s">
        <v>67</v>
      </c>
      <c r="N64" s="11" t="s">
        <v>442</v>
      </c>
      <c r="O64" s="11" t="s">
        <v>68</v>
      </c>
      <c r="P64" s="11">
        <v>2</v>
      </c>
      <c r="Q64" s="11" t="s">
        <v>432</v>
      </c>
      <c r="R64" s="11" t="s">
        <v>67</v>
      </c>
      <c r="S64" s="11" t="s">
        <v>212</v>
      </c>
      <c r="T64" s="13" t="s">
        <v>67</v>
      </c>
      <c r="U64" s="8"/>
      <c r="V64" s="8"/>
      <c r="W64" s="2"/>
    </row>
    <row r="65" spans="1:23" ht="75.95" customHeight="1">
      <c r="A65" s="11" t="s">
        <v>55</v>
      </c>
      <c r="B65" s="11" t="s">
        <v>13</v>
      </c>
      <c r="C65" s="11" t="s">
        <v>443</v>
      </c>
      <c r="D65" s="11" t="s">
        <v>444</v>
      </c>
      <c r="E65" s="11" t="s">
        <v>445</v>
      </c>
      <c r="F65" s="11" t="s">
        <v>59</v>
      </c>
      <c r="G65" s="11" t="s">
        <v>60</v>
      </c>
      <c r="H65" s="11" t="s">
        <v>194</v>
      </c>
      <c r="I65" s="11" t="s">
        <v>224</v>
      </c>
      <c r="J65" s="11" t="s">
        <v>446</v>
      </c>
      <c r="K65" s="11" t="s">
        <v>447</v>
      </c>
      <c r="L65" s="12" t="s">
        <v>65</v>
      </c>
      <c r="M65" s="12" t="s">
        <v>66</v>
      </c>
      <c r="N65" s="11" t="s">
        <v>67</v>
      </c>
      <c r="O65" s="11" t="s">
        <v>68</v>
      </c>
      <c r="P65" s="11">
        <v>3</v>
      </c>
      <c r="Q65" s="11" t="s">
        <v>448</v>
      </c>
      <c r="R65" s="11" t="s">
        <v>67</v>
      </c>
      <c r="S65" s="11" t="s">
        <v>212</v>
      </c>
      <c r="T65" s="13" t="s">
        <v>67</v>
      </c>
      <c r="U65" s="8"/>
      <c r="V65" s="8"/>
      <c r="W65" s="2"/>
    </row>
    <row r="66" spans="1:23" ht="75.95" customHeight="1">
      <c r="A66" s="11" t="s">
        <v>55</v>
      </c>
      <c r="B66" s="11" t="s">
        <v>13</v>
      </c>
      <c r="C66" s="11" t="s">
        <v>449</v>
      </c>
      <c r="D66" s="11" t="s">
        <v>450</v>
      </c>
      <c r="E66" s="11" t="s">
        <v>445</v>
      </c>
      <c r="F66" s="11" t="s">
        <v>59</v>
      </c>
      <c r="G66" s="11" t="s">
        <v>60</v>
      </c>
      <c r="H66" s="11" t="s">
        <v>234</v>
      </c>
      <c r="I66" s="11" t="s">
        <v>451</v>
      </c>
      <c r="J66" s="11" t="s">
        <v>452</v>
      </c>
      <c r="K66" s="11" t="s">
        <v>453</v>
      </c>
      <c r="L66" s="12" t="s">
        <v>23</v>
      </c>
      <c r="M66" s="12" t="s">
        <v>66</v>
      </c>
      <c r="N66" s="11" t="s">
        <v>67</v>
      </c>
      <c r="O66" s="11" t="s">
        <v>68</v>
      </c>
      <c r="P66" s="11">
        <v>3</v>
      </c>
      <c r="Q66" s="11" t="s">
        <v>448</v>
      </c>
      <c r="R66" s="11" t="s">
        <v>67</v>
      </c>
      <c r="S66" s="11" t="s">
        <v>212</v>
      </c>
      <c r="T66" s="13" t="s">
        <v>67</v>
      </c>
      <c r="U66" s="8"/>
      <c r="V66" s="8"/>
      <c r="W66" s="2"/>
    </row>
    <row r="67" spans="1:23" ht="48" customHeight="1">
      <c r="A67" s="11" t="s">
        <v>55</v>
      </c>
      <c r="B67" s="11" t="s">
        <v>13</v>
      </c>
      <c r="C67" s="11" t="s">
        <v>454</v>
      </c>
      <c r="D67" s="11" t="s">
        <v>455</v>
      </c>
      <c r="E67" s="11" t="s">
        <v>456</v>
      </c>
      <c r="F67" s="11" t="s">
        <v>59</v>
      </c>
      <c r="G67" s="11" t="s">
        <v>60</v>
      </c>
      <c r="H67" s="11" t="s">
        <v>194</v>
      </c>
      <c r="I67" s="11" t="s">
        <v>224</v>
      </c>
      <c r="J67" s="11" t="s">
        <v>457</v>
      </c>
      <c r="K67" s="11" t="s">
        <v>458</v>
      </c>
      <c r="L67" s="12" t="s">
        <v>65</v>
      </c>
      <c r="M67" s="12" t="s">
        <v>66</v>
      </c>
      <c r="N67" s="11" t="s">
        <v>67</v>
      </c>
      <c r="O67" s="11" t="s">
        <v>68</v>
      </c>
      <c r="P67" s="11" t="s">
        <v>167</v>
      </c>
      <c r="Q67" s="11" t="s">
        <v>459</v>
      </c>
      <c r="R67" s="11" t="s">
        <v>67</v>
      </c>
      <c r="S67" s="11" t="s">
        <v>212</v>
      </c>
      <c r="T67" s="13" t="s">
        <v>67</v>
      </c>
      <c r="U67" s="8"/>
      <c r="V67" s="8"/>
      <c r="W67" s="2"/>
    </row>
    <row r="68" spans="1:23" ht="48" customHeight="1">
      <c r="A68" s="11" t="s">
        <v>55</v>
      </c>
      <c r="B68" s="11" t="s">
        <v>13</v>
      </c>
      <c r="C68" s="11" t="s">
        <v>460</v>
      </c>
      <c r="D68" s="11" t="s">
        <v>461</v>
      </c>
      <c r="E68" s="11" t="s">
        <v>456</v>
      </c>
      <c r="F68" s="11" t="s">
        <v>59</v>
      </c>
      <c r="G68" s="11" t="s">
        <v>60</v>
      </c>
      <c r="H68" s="11" t="s">
        <v>200</v>
      </c>
      <c r="I68" s="11" t="s">
        <v>462</v>
      </c>
      <c r="J68" s="11" t="s">
        <v>463</v>
      </c>
      <c r="K68" s="11" t="s">
        <v>464</v>
      </c>
      <c r="L68" s="12" t="s">
        <v>23</v>
      </c>
      <c r="M68" s="12" t="s">
        <v>66</v>
      </c>
      <c r="N68" s="11" t="s">
        <v>67</v>
      </c>
      <c r="O68" s="11" t="s">
        <v>68</v>
      </c>
      <c r="P68" s="11" t="s">
        <v>167</v>
      </c>
      <c r="Q68" s="11" t="s">
        <v>459</v>
      </c>
      <c r="R68" s="11" t="s">
        <v>67</v>
      </c>
      <c r="S68" s="11" t="s">
        <v>212</v>
      </c>
      <c r="T68" s="13" t="s">
        <v>67</v>
      </c>
      <c r="U68" s="8"/>
      <c r="V68" s="8"/>
      <c r="W68" s="2"/>
    </row>
    <row r="69" spans="1:23" ht="104.1" customHeight="1">
      <c r="A69" s="11" t="s">
        <v>55</v>
      </c>
      <c r="B69" s="11" t="s">
        <v>13</v>
      </c>
      <c r="C69" s="11" t="s">
        <v>465</v>
      </c>
      <c r="D69" s="11" t="s">
        <v>466</v>
      </c>
      <c r="E69" s="11" t="s">
        <v>467</v>
      </c>
      <c r="F69" s="11" t="s">
        <v>59</v>
      </c>
      <c r="G69" s="11" t="s">
        <v>60</v>
      </c>
      <c r="H69" s="11" t="s">
        <v>194</v>
      </c>
      <c r="I69" s="11" t="s">
        <v>468</v>
      </c>
      <c r="J69" s="11" t="s">
        <v>469</v>
      </c>
      <c r="K69" s="11" t="s">
        <v>470</v>
      </c>
      <c r="L69" s="12" t="s">
        <v>65</v>
      </c>
      <c r="M69" s="12" t="s">
        <v>66</v>
      </c>
      <c r="N69" s="11" t="s">
        <v>67</v>
      </c>
      <c r="O69" s="11" t="s">
        <v>329</v>
      </c>
      <c r="P69" s="11">
        <v>1</v>
      </c>
      <c r="Q69" s="11" t="s">
        <v>471</v>
      </c>
      <c r="R69" s="11" t="s">
        <v>67</v>
      </c>
      <c r="S69" s="11" t="s">
        <v>212</v>
      </c>
      <c r="T69" s="13" t="s">
        <v>67</v>
      </c>
      <c r="U69" s="8"/>
      <c r="V69" s="8"/>
      <c r="W69" s="2"/>
    </row>
    <row r="70" spans="1:23" ht="48" customHeight="1">
      <c r="A70" s="11" t="s">
        <v>55</v>
      </c>
      <c r="B70" s="11" t="s">
        <v>13</v>
      </c>
      <c r="C70" s="11" t="s">
        <v>472</v>
      </c>
      <c r="D70" s="11" t="s">
        <v>473</v>
      </c>
      <c r="E70" s="11" t="s">
        <v>467</v>
      </c>
      <c r="F70" s="11" t="s">
        <v>59</v>
      </c>
      <c r="G70" s="11" t="s">
        <v>60</v>
      </c>
      <c r="H70" s="11" t="s">
        <v>200</v>
      </c>
      <c r="I70" s="11" t="s">
        <v>400</v>
      </c>
      <c r="J70" s="11" t="s">
        <v>67</v>
      </c>
      <c r="K70" s="11" t="s">
        <v>474</v>
      </c>
      <c r="L70" s="12" t="s">
        <v>106</v>
      </c>
      <c r="M70" s="12" t="s">
        <v>67</v>
      </c>
      <c r="N70" s="11" t="s">
        <v>475</v>
      </c>
      <c r="O70" s="11" t="s">
        <v>329</v>
      </c>
      <c r="P70" s="11">
        <v>1</v>
      </c>
      <c r="Q70" s="11" t="s">
        <v>471</v>
      </c>
      <c r="R70" s="11" t="s">
        <v>67</v>
      </c>
      <c r="S70" s="11" t="s">
        <v>212</v>
      </c>
      <c r="T70" s="13" t="s">
        <v>67</v>
      </c>
      <c r="U70" s="8"/>
      <c r="V70" s="8"/>
      <c r="W70" s="2"/>
    </row>
    <row r="71" spans="1:23" ht="33.950000000000003" customHeight="1">
      <c r="A71" s="11" t="s">
        <v>55</v>
      </c>
      <c r="B71" s="11" t="s">
        <v>13</v>
      </c>
      <c r="C71" s="11" t="s">
        <v>476</v>
      </c>
      <c r="D71" s="11" t="s">
        <v>477</v>
      </c>
      <c r="E71" s="11" t="s">
        <v>467</v>
      </c>
      <c r="F71" s="11" t="s">
        <v>59</v>
      </c>
      <c r="G71" s="11" t="s">
        <v>60</v>
      </c>
      <c r="H71" s="11" t="s">
        <v>234</v>
      </c>
      <c r="I71" s="11" t="s">
        <v>235</v>
      </c>
      <c r="J71" s="11" t="s">
        <v>469</v>
      </c>
      <c r="K71" s="11" t="s">
        <v>478</v>
      </c>
      <c r="L71" s="12" t="s">
        <v>106</v>
      </c>
      <c r="M71" s="12" t="s">
        <v>67</v>
      </c>
      <c r="N71" s="11" t="s">
        <v>475</v>
      </c>
      <c r="O71" s="11" t="s">
        <v>329</v>
      </c>
      <c r="P71" s="11">
        <v>1</v>
      </c>
      <c r="Q71" s="11" t="s">
        <v>471</v>
      </c>
      <c r="R71" s="11" t="s">
        <v>67</v>
      </c>
      <c r="S71" s="11" t="s">
        <v>212</v>
      </c>
      <c r="T71" s="13" t="s">
        <v>67</v>
      </c>
      <c r="U71" s="8"/>
      <c r="V71" s="8"/>
      <c r="W71" s="2"/>
    </row>
    <row r="72" spans="1:23" ht="104.1" customHeight="1">
      <c r="A72" s="11" t="s">
        <v>55</v>
      </c>
      <c r="B72" s="11" t="s">
        <v>13</v>
      </c>
      <c r="C72" s="11" t="s">
        <v>479</v>
      </c>
      <c r="D72" s="11" t="s">
        <v>480</v>
      </c>
      <c r="E72" s="11" t="s">
        <v>481</v>
      </c>
      <c r="F72" s="11" t="s">
        <v>59</v>
      </c>
      <c r="G72" s="11" t="s">
        <v>60</v>
      </c>
      <c r="H72" s="11" t="s">
        <v>194</v>
      </c>
      <c r="I72" s="11" t="s">
        <v>410</v>
      </c>
      <c r="J72" s="11" t="s">
        <v>482</v>
      </c>
      <c r="K72" s="11" t="s">
        <v>483</v>
      </c>
      <c r="L72" s="12" t="s">
        <v>65</v>
      </c>
      <c r="M72" s="12" t="s">
        <v>66</v>
      </c>
      <c r="N72" s="11" t="s">
        <v>67</v>
      </c>
      <c r="O72" s="11" t="s">
        <v>92</v>
      </c>
      <c r="P72" s="11">
        <v>10</v>
      </c>
      <c r="Q72" s="11" t="s">
        <v>343</v>
      </c>
      <c r="R72" s="11" t="s">
        <v>67</v>
      </c>
      <c r="S72" s="11" t="s">
        <v>212</v>
      </c>
      <c r="T72" s="13" t="s">
        <v>67</v>
      </c>
      <c r="U72" s="8"/>
      <c r="V72" s="8"/>
      <c r="W72" s="2"/>
    </row>
    <row r="73" spans="1:23" ht="48" customHeight="1">
      <c r="A73" s="11" t="s">
        <v>55</v>
      </c>
      <c r="B73" s="11" t="s">
        <v>13</v>
      </c>
      <c r="C73" s="11" t="s">
        <v>484</v>
      </c>
      <c r="D73" s="11" t="s">
        <v>485</v>
      </c>
      <c r="E73" s="11" t="s">
        <v>481</v>
      </c>
      <c r="F73" s="11" t="s">
        <v>59</v>
      </c>
      <c r="G73" s="11" t="s">
        <v>60</v>
      </c>
      <c r="H73" s="11" t="s">
        <v>200</v>
      </c>
      <c r="I73" s="11" t="s">
        <v>341</v>
      </c>
      <c r="J73" s="11" t="s">
        <v>486</v>
      </c>
      <c r="K73" s="11" t="s">
        <v>487</v>
      </c>
      <c r="L73" s="12" t="s">
        <v>106</v>
      </c>
      <c r="M73" s="12" t="s">
        <v>67</v>
      </c>
      <c r="N73" s="11" t="s">
        <v>67</v>
      </c>
      <c r="O73" s="11" t="s">
        <v>92</v>
      </c>
      <c r="P73" s="11">
        <v>10</v>
      </c>
      <c r="Q73" s="11" t="s">
        <v>343</v>
      </c>
      <c r="R73" s="11" t="s">
        <v>67</v>
      </c>
      <c r="S73" s="11" t="s">
        <v>212</v>
      </c>
      <c r="T73" s="13" t="s">
        <v>67</v>
      </c>
      <c r="U73" s="8"/>
      <c r="V73" s="8"/>
      <c r="W73" s="2"/>
    </row>
    <row r="74" spans="1:23" ht="48" customHeight="1">
      <c r="A74" s="11" t="s">
        <v>55</v>
      </c>
      <c r="B74" s="11" t="s">
        <v>13</v>
      </c>
      <c r="C74" s="11" t="s">
        <v>488</v>
      </c>
      <c r="D74" s="11" t="s">
        <v>489</v>
      </c>
      <c r="E74" s="11" t="s">
        <v>481</v>
      </c>
      <c r="F74" s="11" t="s">
        <v>59</v>
      </c>
      <c r="G74" s="11" t="s">
        <v>60</v>
      </c>
      <c r="H74" s="11" t="s">
        <v>234</v>
      </c>
      <c r="I74" s="11" t="s">
        <v>235</v>
      </c>
      <c r="J74" s="11" t="s">
        <v>490</v>
      </c>
      <c r="K74" s="11" t="s">
        <v>491</v>
      </c>
      <c r="L74" s="12" t="s">
        <v>106</v>
      </c>
      <c r="M74" s="12" t="s">
        <v>67</v>
      </c>
      <c r="N74" s="11" t="s">
        <v>67</v>
      </c>
      <c r="O74" s="11" t="s">
        <v>92</v>
      </c>
      <c r="P74" s="11">
        <v>10</v>
      </c>
      <c r="Q74" s="11" t="s">
        <v>343</v>
      </c>
      <c r="R74" s="11" t="s">
        <v>67</v>
      </c>
      <c r="S74" s="11" t="s">
        <v>212</v>
      </c>
      <c r="T74" s="13" t="s">
        <v>67</v>
      </c>
      <c r="U74" s="8"/>
      <c r="V74" s="8"/>
      <c r="W74" s="2"/>
    </row>
    <row r="75" spans="1:23" ht="48" customHeight="1">
      <c r="A75" s="11" t="s">
        <v>55</v>
      </c>
      <c r="B75" s="11" t="s">
        <v>13</v>
      </c>
      <c r="C75" s="11" t="s">
        <v>492</v>
      </c>
      <c r="D75" s="11" t="s">
        <v>493</v>
      </c>
      <c r="E75" s="11" t="s">
        <v>481</v>
      </c>
      <c r="F75" s="11" t="s">
        <v>59</v>
      </c>
      <c r="G75" s="11" t="s">
        <v>60</v>
      </c>
      <c r="H75" s="11" t="s">
        <v>346</v>
      </c>
      <c r="I75" s="11" t="s">
        <v>494</v>
      </c>
      <c r="J75" s="11" t="s">
        <v>495</v>
      </c>
      <c r="K75" s="11" t="s">
        <v>496</v>
      </c>
      <c r="L75" s="12" t="s">
        <v>23</v>
      </c>
      <c r="M75" s="12" t="s">
        <v>66</v>
      </c>
      <c r="N75" s="11" t="s">
        <v>67</v>
      </c>
      <c r="O75" s="11" t="s">
        <v>92</v>
      </c>
      <c r="P75" s="11">
        <v>10</v>
      </c>
      <c r="Q75" s="11" t="s">
        <v>343</v>
      </c>
      <c r="R75" s="11" t="s">
        <v>67</v>
      </c>
      <c r="S75" s="11" t="s">
        <v>212</v>
      </c>
      <c r="T75" s="13" t="s">
        <v>67</v>
      </c>
      <c r="U75" s="8"/>
      <c r="V75" s="8"/>
      <c r="W75" s="2"/>
    </row>
    <row r="76" spans="1:23" ht="104.1" customHeight="1">
      <c r="A76" s="11" t="s">
        <v>55</v>
      </c>
      <c r="B76" s="11" t="s">
        <v>13</v>
      </c>
      <c r="C76" s="11" t="s">
        <v>497</v>
      </c>
      <c r="D76" s="11" t="s">
        <v>498</v>
      </c>
      <c r="E76" s="11" t="s">
        <v>499</v>
      </c>
      <c r="F76" s="11" t="s">
        <v>59</v>
      </c>
      <c r="G76" s="11" t="s">
        <v>60</v>
      </c>
      <c r="H76" s="11" t="s">
        <v>194</v>
      </c>
      <c r="I76" s="11" t="s">
        <v>468</v>
      </c>
      <c r="J76" s="11" t="s">
        <v>500</v>
      </c>
      <c r="K76" s="11" t="s">
        <v>501</v>
      </c>
      <c r="L76" s="12" t="s">
        <v>65</v>
      </c>
      <c r="M76" s="12" t="s">
        <v>66</v>
      </c>
      <c r="N76" s="11" t="s">
        <v>67</v>
      </c>
      <c r="O76" s="11" t="s">
        <v>329</v>
      </c>
      <c r="P76" s="11">
        <v>1</v>
      </c>
      <c r="Q76" s="11" t="s">
        <v>471</v>
      </c>
      <c r="R76" s="11" t="s">
        <v>67</v>
      </c>
      <c r="S76" s="11" t="s">
        <v>212</v>
      </c>
      <c r="T76" s="13" t="s">
        <v>67</v>
      </c>
      <c r="U76" s="8"/>
      <c r="V76" s="8"/>
      <c r="W76" s="2"/>
    </row>
    <row r="77" spans="1:23" ht="48" customHeight="1">
      <c r="A77" s="11" t="s">
        <v>55</v>
      </c>
      <c r="B77" s="11" t="s">
        <v>13</v>
      </c>
      <c r="C77" s="11" t="s">
        <v>502</v>
      </c>
      <c r="D77" s="11" t="s">
        <v>503</v>
      </c>
      <c r="E77" s="11" t="s">
        <v>499</v>
      </c>
      <c r="F77" s="11" t="s">
        <v>59</v>
      </c>
      <c r="G77" s="11" t="s">
        <v>60</v>
      </c>
      <c r="H77" s="11" t="s">
        <v>200</v>
      </c>
      <c r="I77" s="11" t="s">
        <v>400</v>
      </c>
      <c r="J77" s="11" t="s">
        <v>67</v>
      </c>
      <c r="K77" s="11" t="s">
        <v>504</v>
      </c>
      <c r="L77" s="12" t="s">
        <v>106</v>
      </c>
      <c r="M77" s="12" t="s">
        <v>67</v>
      </c>
      <c r="N77" s="11" t="s">
        <v>333</v>
      </c>
      <c r="O77" s="11" t="s">
        <v>329</v>
      </c>
      <c r="P77" s="11">
        <v>1</v>
      </c>
      <c r="Q77" s="11" t="s">
        <v>471</v>
      </c>
      <c r="R77" s="11" t="s">
        <v>67</v>
      </c>
      <c r="S77" s="11" t="s">
        <v>212</v>
      </c>
      <c r="T77" s="13" t="s">
        <v>67</v>
      </c>
      <c r="U77" s="8"/>
      <c r="V77" s="8"/>
      <c r="W77" s="2"/>
    </row>
    <row r="78" spans="1:23" ht="33.950000000000003" customHeight="1">
      <c r="A78" s="11" t="s">
        <v>55</v>
      </c>
      <c r="B78" s="11" t="s">
        <v>13</v>
      </c>
      <c r="C78" s="11" t="s">
        <v>505</v>
      </c>
      <c r="D78" s="11" t="s">
        <v>506</v>
      </c>
      <c r="E78" s="11" t="s">
        <v>499</v>
      </c>
      <c r="F78" s="11" t="s">
        <v>59</v>
      </c>
      <c r="G78" s="11" t="s">
        <v>60</v>
      </c>
      <c r="H78" s="11" t="s">
        <v>234</v>
      </c>
      <c r="I78" s="11" t="s">
        <v>235</v>
      </c>
      <c r="J78" s="11" t="s">
        <v>500</v>
      </c>
      <c r="K78" s="11" t="s">
        <v>507</v>
      </c>
      <c r="L78" s="12" t="s">
        <v>106</v>
      </c>
      <c r="M78" s="12" t="s">
        <v>67</v>
      </c>
      <c r="N78" s="11" t="s">
        <v>333</v>
      </c>
      <c r="O78" s="11" t="s">
        <v>329</v>
      </c>
      <c r="P78" s="11">
        <v>1</v>
      </c>
      <c r="Q78" s="11" t="s">
        <v>471</v>
      </c>
      <c r="R78" s="11" t="s">
        <v>67</v>
      </c>
      <c r="S78" s="11" t="s">
        <v>212</v>
      </c>
      <c r="T78" s="13" t="s">
        <v>67</v>
      </c>
      <c r="U78" s="8"/>
      <c r="V78" s="8"/>
      <c r="W78" s="2"/>
    </row>
    <row r="79" spans="1:23" ht="104.1" customHeight="1">
      <c r="A79" s="11" t="s">
        <v>55</v>
      </c>
      <c r="B79" s="11" t="s">
        <v>13</v>
      </c>
      <c r="C79" s="11" t="s">
        <v>508</v>
      </c>
      <c r="D79" s="11" t="s">
        <v>509</v>
      </c>
      <c r="E79" s="11" t="s">
        <v>510</v>
      </c>
      <c r="F79" s="11" t="s">
        <v>59</v>
      </c>
      <c r="G79" s="11" t="s">
        <v>60</v>
      </c>
      <c r="H79" s="11" t="s">
        <v>194</v>
      </c>
      <c r="I79" s="11" t="s">
        <v>410</v>
      </c>
      <c r="J79" s="11" t="s">
        <v>511</v>
      </c>
      <c r="K79" s="11" t="s">
        <v>512</v>
      </c>
      <c r="L79" s="12" t="s">
        <v>65</v>
      </c>
      <c r="M79" s="12" t="s">
        <v>66</v>
      </c>
      <c r="N79" s="11" t="s">
        <v>67</v>
      </c>
      <c r="O79" s="11" t="s">
        <v>92</v>
      </c>
      <c r="P79" s="11">
        <v>10</v>
      </c>
      <c r="Q79" s="11" t="s">
        <v>343</v>
      </c>
      <c r="R79" s="11" t="s">
        <v>67</v>
      </c>
      <c r="S79" s="11" t="s">
        <v>212</v>
      </c>
      <c r="T79" s="13" t="s">
        <v>67</v>
      </c>
      <c r="U79" s="8"/>
      <c r="V79" s="8"/>
      <c r="W79" s="2"/>
    </row>
    <row r="80" spans="1:23" ht="48" customHeight="1">
      <c r="A80" s="11" t="s">
        <v>55</v>
      </c>
      <c r="B80" s="11" t="s">
        <v>13</v>
      </c>
      <c r="C80" s="11" t="s">
        <v>513</v>
      </c>
      <c r="D80" s="11" t="s">
        <v>514</v>
      </c>
      <c r="E80" s="11" t="s">
        <v>510</v>
      </c>
      <c r="F80" s="11" t="s">
        <v>59</v>
      </c>
      <c r="G80" s="11" t="s">
        <v>60</v>
      </c>
      <c r="H80" s="11" t="s">
        <v>200</v>
      </c>
      <c r="I80" s="11" t="s">
        <v>341</v>
      </c>
      <c r="J80" s="11" t="s">
        <v>515</v>
      </c>
      <c r="K80" s="11" t="s">
        <v>516</v>
      </c>
      <c r="L80" s="12" t="s">
        <v>106</v>
      </c>
      <c r="M80" s="12" t="s">
        <v>67</v>
      </c>
      <c r="N80" s="11" t="s">
        <v>517</v>
      </c>
      <c r="O80" s="11" t="s">
        <v>92</v>
      </c>
      <c r="P80" s="11">
        <v>10</v>
      </c>
      <c r="Q80" s="11" t="s">
        <v>343</v>
      </c>
      <c r="R80" s="11" t="s">
        <v>67</v>
      </c>
      <c r="S80" s="11" t="s">
        <v>212</v>
      </c>
      <c r="T80" s="13" t="s">
        <v>67</v>
      </c>
      <c r="U80" s="8"/>
      <c r="V80" s="8"/>
      <c r="W80" s="2"/>
    </row>
    <row r="81" spans="1:23" ht="48" customHeight="1">
      <c r="A81" s="11" t="s">
        <v>55</v>
      </c>
      <c r="B81" s="11" t="s">
        <v>13</v>
      </c>
      <c r="C81" s="11" t="s">
        <v>518</v>
      </c>
      <c r="D81" s="11" t="s">
        <v>519</v>
      </c>
      <c r="E81" s="11" t="s">
        <v>510</v>
      </c>
      <c r="F81" s="11" t="s">
        <v>59</v>
      </c>
      <c r="G81" s="11" t="s">
        <v>60</v>
      </c>
      <c r="H81" s="11" t="s">
        <v>234</v>
      </c>
      <c r="I81" s="11" t="s">
        <v>235</v>
      </c>
      <c r="J81" s="11" t="s">
        <v>520</v>
      </c>
      <c r="K81" s="11" t="s">
        <v>521</v>
      </c>
      <c r="L81" s="12" t="s">
        <v>106</v>
      </c>
      <c r="M81" s="12" t="s">
        <v>67</v>
      </c>
      <c r="N81" s="11" t="s">
        <v>517</v>
      </c>
      <c r="O81" s="11" t="s">
        <v>92</v>
      </c>
      <c r="P81" s="11">
        <v>10</v>
      </c>
      <c r="Q81" s="11" t="s">
        <v>343</v>
      </c>
      <c r="R81" s="11" t="s">
        <v>67</v>
      </c>
      <c r="S81" s="11" t="s">
        <v>212</v>
      </c>
      <c r="T81" s="13" t="s">
        <v>67</v>
      </c>
      <c r="U81" s="8"/>
      <c r="V81" s="8"/>
      <c r="W81" s="2"/>
    </row>
    <row r="82" spans="1:23" ht="48" customHeight="1">
      <c r="A82" s="11" t="s">
        <v>55</v>
      </c>
      <c r="B82" s="11" t="s">
        <v>13</v>
      </c>
      <c r="C82" s="11" t="s">
        <v>522</v>
      </c>
      <c r="D82" s="11" t="s">
        <v>523</v>
      </c>
      <c r="E82" s="11" t="s">
        <v>510</v>
      </c>
      <c r="F82" s="11" t="s">
        <v>59</v>
      </c>
      <c r="G82" s="11" t="s">
        <v>60</v>
      </c>
      <c r="H82" s="11" t="s">
        <v>346</v>
      </c>
      <c r="I82" s="11" t="s">
        <v>524</v>
      </c>
      <c r="J82" s="11" t="s">
        <v>525</v>
      </c>
      <c r="K82" s="11" t="s">
        <v>526</v>
      </c>
      <c r="L82" s="12" t="s">
        <v>23</v>
      </c>
      <c r="M82" s="12" t="s">
        <v>66</v>
      </c>
      <c r="N82" s="11" t="s">
        <v>67</v>
      </c>
      <c r="O82" s="11" t="s">
        <v>92</v>
      </c>
      <c r="P82" s="11">
        <v>10</v>
      </c>
      <c r="Q82" s="11" t="s">
        <v>343</v>
      </c>
      <c r="R82" s="11" t="s">
        <v>67</v>
      </c>
      <c r="S82" s="11" t="s">
        <v>212</v>
      </c>
      <c r="T82" s="13" t="s">
        <v>67</v>
      </c>
      <c r="U82" s="8"/>
      <c r="V82" s="8"/>
      <c r="W82" s="2"/>
    </row>
    <row r="83" spans="1:23" ht="48" customHeight="1">
      <c r="A83" s="11" t="s">
        <v>55</v>
      </c>
      <c r="B83" s="11" t="s">
        <v>13</v>
      </c>
      <c r="C83" s="11" t="s">
        <v>527</v>
      </c>
      <c r="D83" s="11" t="s">
        <v>528</v>
      </c>
      <c r="E83" s="11" t="s">
        <v>529</v>
      </c>
      <c r="F83" s="11" t="s">
        <v>59</v>
      </c>
      <c r="G83" s="11" t="s">
        <v>60</v>
      </c>
      <c r="H83" s="11" t="s">
        <v>194</v>
      </c>
      <c r="I83" s="11" t="s">
        <v>468</v>
      </c>
      <c r="J83" s="11" t="s">
        <v>530</v>
      </c>
      <c r="K83" s="11" t="s">
        <v>531</v>
      </c>
      <c r="L83" s="12" t="s">
        <v>65</v>
      </c>
      <c r="M83" s="12" t="s">
        <v>66</v>
      </c>
      <c r="N83" s="11" t="s">
        <v>67</v>
      </c>
      <c r="O83" s="11" t="s">
        <v>329</v>
      </c>
      <c r="P83" s="11">
        <v>1</v>
      </c>
      <c r="Q83" s="11" t="s">
        <v>471</v>
      </c>
      <c r="R83" s="11" t="s">
        <v>67</v>
      </c>
      <c r="S83" s="11" t="s">
        <v>212</v>
      </c>
      <c r="T83" s="13" t="s">
        <v>67</v>
      </c>
      <c r="U83" s="8"/>
      <c r="V83" s="8"/>
      <c r="W83" s="2"/>
    </row>
    <row r="84" spans="1:23" ht="33.950000000000003" customHeight="1">
      <c r="A84" s="11" t="s">
        <v>55</v>
      </c>
      <c r="B84" s="11" t="s">
        <v>13</v>
      </c>
      <c r="C84" s="11" t="s">
        <v>532</v>
      </c>
      <c r="D84" s="11" t="s">
        <v>533</v>
      </c>
      <c r="E84" s="11" t="s">
        <v>529</v>
      </c>
      <c r="F84" s="11" t="s">
        <v>59</v>
      </c>
      <c r="G84" s="11" t="s">
        <v>60</v>
      </c>
      <c r="H84" s="11" t="s">
        <v>200</v>
      </c>
      <c r="I84" s="11" t="s">
        <v>400</v>
      </c>
      <c r="J84" s="14" t="s">
        <v>534</v>
      </c>
      <c r="K84" s="14" t="s">
        <v>535</v>
      </c>
      <c r="L84" s="12" t="s">
        <v>106</v>
      </c>
      <c r="M84" s="12" t="s">
        <v>67</v>
      </c>
      <c r="N84" s="11" t="s">
        <v>475</v>
      </c>
      <c r="O84" s="11" t="s">
        <v>329</v>
      </c>
      <c r="P84" s="11">
        <v>1</v>
      </c>
      <c r="Q84" s="11" t="s">
        <v>471</v>
      </c>
      <c r="R84" s="11" t="s">
        <v>67</v>
      </c>
      <c r="S84" s="11" t="s">
        <v>212</v>
      </c>
      <c r="T84" s="13" t="s">
        <v>67</v>
      </c>
      <c r="U84" s="8"/>
      <c r="V84" s="8"/>
      <c r="W84" s="2"/>
    </row>
    <row r="85" spans="1:23" ht="48" customHeight="1">
      <c r="A85" s="11" t="s">
        <v>55</v>
      </c>
      <c r="B85" s="11" t="s">
        <v>13</v>
      </c>
      <c r="C85" s="11" t="s">
        <v>536</v>
      </c>
      <c r="D85" s="11" t="s">
        <v>537</v>
      </c>
      <c r="E85" s="11" t="s">
        <v>538</v>
      </c>
      <c r="F85" s="11" t="s">
        <v>59</v>
      </c>
      <c r="G85" s="11" t="s">
        <v>60</v>
      </c>
      <c r="H85" s="11" t="s">
        <v>194</v>
      </c>
      <c r="I85" s="11" t="s">
        <v>410</v>
      </c>
      <c r="J85" s="11" t="s">
        <v>539</v>
      </c>
      <c r="K85" s="11" t="s">
        <v>540</v>
      </c>
      <c r="L85" s="12" t="s">
        <v>65</v>
      </c>
      <c r="M85" s="12" t="s">
        <v>66</v>
      </c>
      <c r="N85" s="11" t="s">
        <v>67</v>
      </c>
      <c r="O85" s="11" t="s">
        <v>92</v>
      </c>
      <c r="P85" s="11">
        <v>10</v>
      </c>
      <c r="Q85" s="11" t="s">
        <v>343</v>
      </c>
      <c r="R85" s="11" t="s">
        <v>67</v>
      </c>
      <c r="S85" s="11" t="s">
        <v>212</v>
      </c>
      <c r="T85" s="13" t="s">
        <v>67</v>
      </c>
      <c r="U85" s="8"/>
      <c r="V85" s="8"/>
      <c r="W85" s="2"/>
    </row>
    <row r="86" spans="1:23" ht="48" customHeight="1">
      <c r="A86" s="11" t="s">
        <v>55</v>
      </c>
      <c r="B86" s="11" t="s">
        <v>13</v>
      </c>
      <c r="C86" s="11" t="s">
        <v>541</v>
      </c>
      <c r="D86" s="11" t="s">
        <v>542</v>
      </c>
      <c r="E86" s="11" t="s">
        <v>538</v>
      </c>
      <c r="F86" s="11" t="s">
        <v>59</v>
      </c>
      <c r="G86" s="11" t="s">
        <v>60</v>
      </c>
      <c r="H86" s="11" t="s">
        <v>200</v>
      </c>
      <c r="I86" s="11" t="s">
        <v>341</v>
      </c>
      <c r="J86" s="11" t="s">
        <v>543</v>
      </c>
      <c r="K86" s="11" t="s">
        <v>544</v>
      </c>
      <c r="L86" s="12" t="s">
        <v>106</v>
      </c>
      <c r="M86" s="12" t="s">
        <v>67</v>
      </c>
      <c r="N86" s="11" t="s">
        <v>417</v>
      </c>
      <c r="O86" s="11" t="s">
        <v>92</v>
      </c>
      <c r="P86" s="11">
        <v>10</v>
      </c>
      <c r="Q86" s="11" t="s">
        <v>343</v>
      </c>
      <c r="R86" s="11" t="s">
        <v>67</v>
      </c>
      <c r="S86" s="11" t="s">
        <v>212</v>
      </c>
      <c r="T86" s="13" t="s">
        <v>67</v>
      </c>
      <c r="U86" s="8"/>
      <c r="V86" s="8"/>
      <c r="W86" s="2"/>
    </row>
    <row r="87" spans="1:23" ht="48" customHeight="1">
      <c r="A87" s="11" t="s">
        <v>55</v>
      </c>
      <c r="B87" s="11" t="s">
        <v>13</v>
      </c>
      <c r="C87" s="11" t="s">
        <v>545</v>
      </c>
      <c r="D87" s="11" t="s">
        <v>546</v>
      </c>
      <c r="E87" s="11" t="s">
        <v>538</v>
      </c>
      <c r="F87" s="11" t="s">
        <v>59</v>
      </c>
      <c r="G87" s="11" t="s">
        <v>60</v>
      </c>
      <c r="H87" s="11" t="s">
        <v>346</v>
      </c>
      <c r="I87" s="11" t="s">
        <v>547</v>
      </c>
      <c r="J87" s="11" t="s">
        <v>548</v>
      </c>
      <c r="K87" s="11" t="s">
        <v>549</v>
      </c>
      <c r="L87" s="12" t="s">
        <v>23</v>
      </c>
      <c r="M87" s="12" t="s">
        <v>66</v>
      </c>
      <c r="N87" s="11" t="s">
        <v>67</v>
      </c>
      <c r="O87" s="11" t="s">
        <v>92</v>
      </c>
      <c r="P87" s="11">
        <v>10</v>
      </c>
      <c r="Q87" s="11" t="s">
        <v>343</v>
      </c>
      <c r="R87" s="11" t="s">
        <v>67</v>
      </c>
      <c r="S87" s="11" t="s">
        <v>212</v>
      </c>
      <c r="T87" s="13" t="s">
        <v>67</v>
      </c>
      <c r="U87" s="8"/>
      <c r="V87" s="8"/>
      <c r="W87" s="2"/>
    </row>
    <row r="88" spans="1:23" ht="33.950000000000003" customHeight="1">
      <c r="A88" s="11" t="s">
        <v>55</v>
      </c>
      <c r="B88" s="11" t="s">
        <v>13</v>
      </c>
      <c r="C88" s="11" t="s">
        <v>550</v>
      </c>
      <c r="D88" s="11" t="s">
        <v>551</v>
      </c>
      <c r="E88" s="11" t="s">
        <v>118</v>
      </c>
      <c r="F88" s="11" t="s">
        <v>59</v>
      </c>
      <c r="G88" s="11" t="s">
        <v>60</v>
      </c>
      <c r="H88" s="11" t="s">
        <v>194</v>
      </c>
      <c r="I88" s="11" t="s">
        <v>552</v>
      </c>
      <c r="J88" s="11" t="s">
        <v>553</v>
      </c>
      <c r="K88" s="11" t="s">
        <v>554</v>
      </c>
      <c r="L88" s="12" t="s">
        <v>65</v>
      </c>
      <c r="M88" s="12" t="s">
        <v>66</v>
      </c>
      <c r="N88" s="11" t="s">
        <v>67</v>
      </c>
      <c r="O88" s="11" t="s">
        <v>68</v>
      </c>
      <c r="P88" s="11" t="s">
        <v>67</v>
      </c>
      <c r="Q88" s="11" t="s">
        <v>123</v>
      </c>
      <c r="R88" s="11" t="s">
        <v>67</v>
      </c>
      <c r="S88" s="11" t="s">
        <v>70</v>
      </c>
      <c r="T88" s="13" t="s">
        <v>67</v>
      </c>
      <c r="U88" s="8"/>
      <c r="V88" s="8"/>
      <c r="W88" s="2"/>
    </row>
    <row r="89" spans="1:23" ht="33.950000000000003" customHeight="1">
      <c r="A89" s="11" t="s">
        <v>55</v>
      </c>
      <c r="B89" s="11" t="s">
        <v>13</v>
      </c>
      <c r="C89" s="11" t="s">
        <v>555</v>
      </c>
      <c r="D89" s="11" t="s">
        <v>556</v>
      </c>
      <c r="E89" s="11" t="s">
        <v>118</v>
      </c>
      <c r="F89" s="11" t="s">
        <v>59</v>
      </c>
      <c r="G89" s="11" t="s">
        <v>60</v>
      </c>
      <c r="H89" s="11" t="s">
        <v>200</v>
      </c>
      <c r="I89" s="11" t="s">
        <v>557</v>
      </c>
      <c r="J89" s="11" t="s">
        <v>558</v>
      </c>
      <c r="K89" s="11" t="s">
        <v>559</v>
      </c>
      <c r="L89" s="12" t="s">
        <v>106</v>
      </c>
      <c r="M89" s="12" t="s">
        <v>67</v>
      </c>
      <c r="N89" s="11" t="s">
        <v>560</v>
      </c>
      <c r="O89" s="11" t="s">
        <v>68</v>
      </c>
      <c r="P89" s="11">
        <v>10</v>
      </c>
      <c r="Q89" s="11" t="s">
        <v>123</v>
      </c>
      <c r="R89" s="11" t="s">
        <v>67</v>
      </c>
      <c r="S89" s="11" t="s">
        <v>70</v>
      </c>
      <c r="T89" s="13" t="s">
        <v>67</v>
      </c>
      <c r="U89" s="8"/>
      <c r="V89" s="8"/>
      <c r="W89" s="2"/>
    </row>
    <row r="90" spans="1:23" ht="33.950000000000003" customHeight="1">
      <c r="A90" s="11" t="s">
        <v>55</v>
      </c>
      <c r="B90" s="11" t="s">
        <v>13</v>
      </c>
      <c r="C90" s="11" t="s">
        <v>561</v>
      </c>
      <c r="D90" s="11" t="s">
        <v>562</v>
      </c>
      <c r="E90" s="11" t="s">
        <v>118</v>
      </c>
      <c r="F90" s="11" t="s">
        <v>59</v>
      </c>
      <c r="G90" s="11" t="s">
        <v>60</v>
      </c>
      <c r="H90" s="11" t="s">
        <v>234</v>
      </c>
      <c r="I90" s="11" t="s">
        <v>563</v>
      </c>
      <c r="J90" s="11" t="s">
        <v>564</v>
      </c>
      <c r="K90" s="11" t="s">
        <v>565</v>
      </c>
      <c r="L90" s="12" t="s">
        <v>23</v>
      </c>
      <c r="M90" s="12" t="s">
        <v>66</v>
      </c>
      <c r="N90" s="11" t="s">
        <v>67</v>
      </c>
      <c r="O90" s="11" t="s">
        <v>68</v>
      </c>
      <c r="P90" s="11">
        <v>1</v>
      </c>
      <c r="Q90" s="11" t="s">
        <v>123</v>
      </c>
      <c r="R90" s="11" t="s">
        <v>67</v>
      </c>
      <c r="S90" s="11" t="s">
        <v>212</v>
      </c>
      <c r="T90" s="13" t="s">
        <v>67</v>
      </c>
      <c r="U90" s="8"/>
      <c r="V90" s="8"/>
      <c r="W90" s="2"/>
    </row>
    <row r="91" spans="1:23" ht="33.950000000000003" customHeight="1">
      <c r="A91" s="11" t="s">
        <v>55</v>
      </c>
      <c r="B91" s="11" t="s">
        <v>13</v>
      </c>
      <c r="C91" s="11" t="s">
        <v>566</v>
      </c>
      <c r="D91" s="11" t="s">
        <v>567</v>
      </c>
      <c r="E91" s="11" t="s">
        <v>568</v>
      </c>
      <c r="F91" s="11" t="s">
        <v>59</v>
      </c>
      <c r="G91" s="11" t="s">
        <v>60</v>
      </c>
      <c r="H91" s="11" t="s">
        <v>194</v>
      </c>
      <c r="I91" s="11" t="s">
        <v>383</v>
      </c>
      <c r="J91" s="11" t="s">
        <v>569</v>
      </c>
      <c r="K91" s="11" t="s">
        <v>570</v>
      </c>
      <c r="L91" s="12" t="s">
        <v>65</v>
      </c>
      <c r="M91" s="12" t="s">
        <v>66</v>
      </c>
      <c r="N91" s="11" t="s">
        <v>67</v>
      </c>
      <c r="O91" s="11" t="s">
        <v>68</v>
      </c>
      <c r="P91" s="11">
        <v>1</v>
      </c>
      <c r="Q91" s="11" t="s">
        <v>175</v>
      </c>
      <c r="R91" s="11" t="s">
        <v>67</v>
      </c>
      <c r="S91" s="11" t="s">
        <v>212</v>
      </c>
      <c r="T91" s="13" t="s">
        <v>67</v>
      </c>
      <c r="U91" s="8"/>
      <c r="V91" s="8"/>
      <c r="W91" s="2"/>
    </row>
    <row r="92" spans="1:23" ht="33.950000000000003" customHeight="1">
      <c r="A92" s="11" t="s">
        <v>55</v>
      </c>
      <c r="B92" s="11" t="s">
        <v>13</v>
      </c>
      <c r="C92" s="11" t="s">
        <v>571</v>
      </c>
      <c r="D92" s="11" t="s">
        <v>572</v>
      </c>
      <c r="E92" s="11" t="s">
        <v>568</v>
      </c>
      <c r="F92" s="11" t="s">
        <v>59</v>
      </c>
      <c r="G92" s="11" t="s">
        <v>60</v>
      </c>
      <c r="H92" s="11" t="s">
        <v>200</v>
      </c>
      <c r="I92" s="11" t="s">
        <v>400</v>
      </c>
      <c r="J92" s="11" t="s">
        <v>573</v>
      </c>
      <c r="K92" s="11" t="s">
        <v>574</v>
      </c>
      <c r="L92" s="12" t="s">
        <v>106</v>
      </c>
      <c r="M92" s="12" t="s">
        <v>67</v>
      </c>
      <c r="N92" s="11" t="s">
        <v>560</v>
      </c>
      <c r="O92" s="11" t="s">
        <v>68</v>
      </c>
      <c r="P92" s="11">
        <v>1</v>
      </c>
      <c r="Q92" s="11" t="s">
        <v>175</v>
      </c>
      <c r="R92" s="11" t="s">
        <v>67</v>
      </c>
      <c r="S92" s="11" t="s">
        <v>212</v>
      </c>
      <c r="T92" s="13" t="s">
        <v>67</v>
      </c>
      <c r="U92" s="8"/>
      <c r="V92" s="8"/>
      <c r="W92" s="2"/>
    </row>
    <row r="93" spans="1:23" ht="33.950000000000003" customHeight="1">
      <c r="A93" s="11" t="s">
        <v>55</v>
      </c>
      <c r="B93" s="11" t="s">
        <v>13</v>
      </c>
      <c r="C93" s="11" t="s">
        <v>575</v>
      </c>
      <c r="D93" s="11" t="s">
        <v>576</v>
      </c>
      <c r="E93" s="11" t="s">
        <v>568</v>
      </c>
      <c r="F93" s="11" t="s">
        <v>59</v>
      </c>
      <c r="G93" s="11" t="s">
        <v>60</v>
      </c>
      <c r="H93" s="11" t="s">
        <v>234</v>
      </c>
      <c r="I93" s="11" t="s">
        <v>577</v>
      </c>
      <c r="J93" s="11" t="s">
        <v>578</v>
      </c>
      <c r="K93" s="11" t="s">
        <v>579</v>
      </c>
      <c r="L93" s="12" t="s">
        <v>23</v>
      </c>
      <c r="M93" s="12" t="s">
        <v>66</v>
      </c>
      <c r="N93" s="11" t="s">
        <v>67</v>
      </c>
      <c r="O93" s="11" t="s">
        <v>68</v>
      </c>
      <c r="P93" s="11">
        <v>1</v>
      </c>
      <c r="Q93" s="11" t="s">
        <v>175</v>
      </c>
      <c r="R93" s="11" t="s">
        <v>67</v>
      </c>
      <c r="S93" s="11" t="s">
        <v>212</v>
      </c>
      <c r="T93" s="13" t="s">
        <v>67</v>
      </c>
      <c r="U93" s="8"/>
      <c r="V93" s="8"/>
      <c r="W93" s="2"/>
    </row>
    <row r="94" spans="1:23" ht="33.950000000000003" customHeight="1">
      <c r="A94" s="11" t="s">
        <v>55</v>
      </c>
      <c r="B94" s="11" t="s">
        <v>13</v>
      </c>
      <c r="C94" s="11" t="s">
        <v>580</v>
      </c>
      <c r="D94" s="11" t="s">
        <v>581</v>
      </c>
      <c r="E94" s="11" t="s">
        <v>582</v>
      </c>
      <c r="F94" s="11" t="s">
        <v>59</v>
      </c>
      <c r="G94" s="11" t="s">
        <v>60</v>
      </c>
      <c r="H94" s="11" t="s">
        <v>194</v>
      </c>
      <c r="I94" s="11" t="s">
        <v>383</v>
      </c>
      <c r="J94" s="11" t="s">
        <v>583</v>
      </c>
      <c r="K94" s="11" t="s">
        <v>584</v>
      </c>
      <c r="L94" s="12" t="s">
        <v>65</v>
      </c>
      <c r="M94" s="12" t="s">
        <v>66</v>
      </c>
      <c r="N94" s="11" t="s">
        <v>67</v>
      </c>
      <c r="O94" s="11" t="s">
        <v>68</v>
      </c>
      <c r="P94" s="11">
        <v>1</v>
      </c>
      <c r="Q94" s="11" t="s">
        <v>175</v>
      </c>
      <c r="R94" s="11" t="s">
        <v>67</v>
      </c>
      <c r="S94" s="11" t="s">
        <v>212</v>
      </c>
      <c r="T94" s="13" t="s">
        <v>67</v>
      </c>
      <c r="U94" s="8"/>
      <c r="V94" s="8"/>
      <c r="W94" s="2"/>
    </row>
    <row r="95" spans="1:23" ht="33.950000000000003" customHeight="1">
      <c r="A95" s="11" t="s">
        <v>55</v>
      </c>
      <c r="B95" s="11" t="s">
        <v>13</v>
      </c>
      <c r="C95" s="11" t="s">
        <v>585</v>
      </c>
      <c r="D95" s="11" t="s">
        <v>586</v>
      </c>
      <c r="E95" s="11" t="s">
        <v>582</v>
      </c>
      <c r="F95" s="11" t="s">
        <v>59</v>
      </c>
      <c r="G95" s="11" t="s">
        <v>60</v>
      </c>
      <c r="H95" s="11" t="s">
        <v>200</v>
      </c>
      <c r="I95" s="11" t="s">
        <v>400</v>
      </c>
      <c r="J95" s="11" t="s">
        <v>587</v>
      </c>
      <c r="K95" s="11" t="s">
        <v>588</v>
      </c>
      <c r="L95" s="12" t="s">
        <v>106</v>
      </c>
      <c r="M95" s="12" t="s">
        <v>67</v>
      </c>
      <c r="N95" s="11" t="s">
        <v>560</v>
      </c>
      <c r="O95" s="11" t="s">
        <v>68</v>
      </c>
      <c r="P95" s="11">
        <v>1</v>
      </c>
      <c r="Q95" s="11" t="s">
        <v>175</v>
      </c>
      <c r="R95" s="11" t="s">
        <v>67</v>
      </c>
      <c r="S95" s="11" t="s">
        <v>212</v>
      </c>
      <c r="T95" s="13" t="s">
        <v>67</v>
      </c>
      <c r="U95" s="8"/>
      <c r="V95" s="8"/>
      <c r="W95" s="2"/>
    </row>
    <row r="96" spans="1:23" ht="33.950000000000003" customHeight="1">
      <c r="A96" s="11" t="s">
        <v>55</v>
      </c>
      <c r="B96" s="11" t="s">
        <v>13</v>
      </c>
      <c r="C96" s="11" t="s">
        <v>589</v>
      </c>
      <c r="D96" s="11" t="s">
        <v>590</v>
      </c>
      <c r="E96" s="11" t="s">
        <v>582</v>
      </c>
      <c r="F96" s="11" t="s">
        <v>59</v>
      </c>
      <c r="G96" s="11" t="s">
        <v>60</v>
      </c>
      <c r="H96" s="11" t="s">
        <v>234</v>
      </c>
      <c r="I96" s="11" t="s">
        <v>591</v>
      </c>
      <c r="J96" s="11" t="s">
        <v>592</v>
      </c>
      <c r="K96" s="11" t="s">
        <v>593</v>
      </c>
      <c r="L96" s="12" t="s">
        <v>23</v>
      </c>
      <c r="M96" s="12" t="s">
        <v>66</v>
      </c>
      <c r="N96" s="11" t="s">
        <v>67</v>
      </c>
      <c r="O96" s="11" t="s">
        <v>68</v>
      </c>
      <c r="P96" s="11">
        <v>1</v>
      </c>
      <c r="Q96" s="11" t="s">
        <v>175</v>
      </c>
      <c r="R96" s="11" t="s">
        <v>67</v>
      </c>
      <c r="S96" s="11" t="s">
        <v>212</v>
      </c>
      <c r="T96" s="13" t="s">
        <v>67</v>
      </c>
      <c r="U96" s="8"/>
      <c r="V96" s="8"/>
      <c r="W96" s="2"/>
    </row>
    <row r="97" spans="1:23" ht="48" customHeight="1">
      <c r="A97" s="11" t="s">
        <v>55</v>
      </c>
      <c r="B97" s="11" t="s">
        <v>13</v>
      </c>
      <c r="C97" s="11" t="s">
        <v>594</v>
      </c>
      <c r="D97" s="11" t="s">
        <v>595</v>
      </c>
      <c r="E97" s="11" t="s">
        <v>596</v>
      </c>
      <c r="F97" s="11" t="s">
        <v>59</v>
      </c>
      <c r="G97" s="11" t="s">
        <v>60</v>
      </c>
      <c r="H97" s="11" t="s">
        <v>194</v>
      </c>
      <c r="I97" s="11" t="s">
        <v>383</v>
      </c>
      <c r="J97" s="11" t="s">
        <v>597</v>
      </c>
      <c r="K97" s="11" t="s">
        <v>598</v>
      </c>
      <c r="L97" s="12" t="s">
        <v>65</v>
      </c>
      <c r="M97" s="12" t="s">
        <v>66</v>
      </c>
      <c r="N97" s="11" t="s">
        <v>67</v>
      </c>
      <c r="O97" s="11" t="s">
        <v>68</v>
      </c>
      <c r="P97" s="11">
        <v>1</v>
      </c>
      <c r="Q97" s="11" t="s">
        <v>599</v>
      </c>
      <c r="R97" s="11" t="s">
        <v>67</v>
      </c>
      <c r="S97" s="11" t="s">
        <v>212</v>
      </c>
      <c r="T97" s="13" t="s">
        <v>67</v>
      </c>
      <c r="U97" s="8"/>
      <c r="V97" s="8"/>
      <c r="W97" s="2"/>
    </row>
    <row r="98" spans="1:23" ht="48" customHeight="1">
      <c r="A98" s="11" t="s">
        <v>55</v>
      </c>
      <c r="B98" s="11" t="s">
        <v>13</v>
      </c>
      <c r="C98" s="11" t="s">
        <v>600</v>
      </c>
      <c r="D98" s="11" t="s">
        <v>601</v>
      </c>
      <c r="E98" s="11" t="s">
        <v>596</v>
      </c>
      <c r="F98" s="11" t="s">
        <v>59</v>
      </c>
      <c r="G98" s="11" t="s">
        <v>60</v>
      </c>
      <c r="H98" s="11" t="s">
        <v>200</v>
      </c>
      <c r="I98" s="11" t="s">
        <v>400</v>
      </c>
      <c r="J98" s="11" t="s">
        <v>602</v>
      </c>
      <c r="K98" s="11" t="s">
        <v>603</v>
      </c>
      <c r="L98" s="12" t="s">
        <v>106</v>
      </c>
      <c r="M98" s="12" t="s">
        <v>67</v>
      </c>
      <c r="N98" s="11" t="s">
        <v>604</v>
      </c>
      <c r="O98" s="11" t="s">
        <v>68</v>
      </c>
      <c r="P98" s="11">
        <v>1</v>
      </c>
      <c r="Q98" s="11" t="s">
        <v>599</v>
      </c>
      <c r="R98" s="11" t="s">
        <v>67</v>
      </c>
      <c r="S98" s="11" t="s">
        <v>212</v>
      </c>
      <c r="T98" s="13" t="s">
        <v>67</v>
      </c>
      <c r="U98" s="8"/>
      <c r="V98" s="8"/>
      <c r="W98" s="2"/>
    </row>
    <row r="99" spans="1:23" ht="48" customHeight="1">
      <c r="A99" s="11" t="s">
        <v>55</v>
      </c>
      <c r="B99" s="11" t="s">
        <v>13</v>
      </c>
      <c r="C99" s="11" t="s">
        <v>600</v>
      </c>
      <c r="D99" s="11" t="s">
        <v>601</v>
      </c>
      <c r="E99" s="11" t="s">
        <v>596</v>
      </c>
      <c r="F99" s="11" t="s">
        <v>59</v>
      </c>
      <c r="G99" s="11" t="s">
        <v>60</v>
      </c>
      <c r="H99" s="11" t="s">
        <v>234</v>
      </c>
      <c r="I99" s="11" t="s">
        <v>605</v>
      </c>
      <c r="J99" s="11" t="s">
        <v>606</v>
      </c>
      <c r="K99" s="11" t="s">
        <v>607</v>
      </c>
      <c r="L99" s="12" t="s">
        <v>23</v>
      </c>
      <c r="M99" s="12" t="s">
        <v>66</v>
      </c>
      <c r="N99" s="11" t="s">
        <v>438</v>
      </c>
      <c r="O99" s="11" t="s">
        <v>68</v>
      </c>
      <c r="P99" s="11">
        <v>1</v>
      </c>
      <c r="Q99" s="11" t="s">
        <v>599</v>
      </c>
      <c r="R99" s="11" t="s">
        <v>67</v>
      </c>
      <c r="S99" s="11" t="s">
        <v>212</v>
      </c>
      <c r="T99" s="13" t="s">
        <v>67</v>
      </c>
      <c r="U99" s="8"/>
      <c r="V99" s="8"/>
      <c r="W99" s="2"/>
    </row>
    <row r="100" spans="1:23" ht="62.1" customHeight="1">
      <c r="A100" s="11" t="s">
        <v>55</v>
      </c>
      <c r="B100" s="11" t="s">
        <v>13</v>
      </c>
      <c r="C100" s="11" t="s">
        <v>608</v>
      </c>
      <c r="D100" s="11" t="s">
        <v>609</v>
      </c>
      <c r="E100" s="11" t="s">
        <v>610</v>
      </c>
      <c r="F100" s="11" t="s">
        <v>59</v>
      </c>
      <c r="G100" s="11" t="s">
        <v>60</v>
      </c>
      <c r="H100" s="11" t="s">
        <v>194</v>
      </c>
      <c r="I100" s="11" t="s">
        <v>383</v>
      </c>
      <c r="J100" s="11" t="s">
        <v>611</v>
      </c>
      <c r="K100" s="11" t="s">
        <v>612</v>
      </c>
      <c r="L100" s="12" t="s">
        <v>65</v>
      </c>
      <c r="M100" s="12" t="s">
        <v>66</v>
      </c>
      <c r="N100" s="11" t="s">
        <v>67</v>
      </c>
      <c r="O100" s="11" t="s">
        <v>68</v>
      </c>
      <c r="P100" s="11">
        <v>1</v>
      </c>
      <c r="Q100" s="11" t="s">
        <v>123</v>
      </c>
      <c r="R100" s="11" t="s">
        <v>67</v>
      </c>
      <c r="S100" s="11" t="s">
        <v>212</v>
      </c>
      <c r="T100" s="13" t="s">
        <v>67</v>
      </c>
      <c r="U100" s="8"/>
      <c r="V100" s="8"/>
      <c r="W100" s="2" t="s">
        <v>613</v>
      </c>
    </row>
    <row r="101" spans="1:23" ht="62.1" customHeight="1">
      <c r="A101" s="11" t="s">
        <v>55</v>
      </c>
      <c r="B101" s="11" t="s">
        <v>13</v>
      </c>
      <c r="C101" s="11" t="s">
        <v>614</v>
      </c>
      <c r="D101" s="11" t="s">
        <v>615</v>
      </c>
      <c r="E101" s="11" t="s">
        <v>610</v>
      </c>
      <c r="F101" s="11" t="s">
        <v>59</v>
      </c>
      <c r="G101" s="11" t="s">
        <v>60</v>
      </c>
      <c r="H101" s="11" t="s">
        <v>200</v>
      </c>
      <c r="I101" s="11" t="s">
        <v>400</v>
      </c>
      <c r="J101" s="14" t="s">
        <v>202</v>
      </c>
      <c r="K101" s="14" t="s">
        <v>616</v>
      </c>
      <c r="L101" s="12" t="s">
        <v>106</v>
      </c>
      <c r="M101" s="12" t="s">
        <v>67</v>
      </c>
      <c r="N101" s="11" t="s">
        <v>67</v>
      </c>
      <c r="O101" s="11" t="s">
        <v>68</v>
      </c>
      <c r="P101" s="11">
        <v>1</v>
      </c>
      <c r="Q101" s="11" t="s">
        <v>123</v>
      </c>
      <c r="R101" s="11" t="s">
        <v>67</v>
      </c>
      <c r="S101" s="11" t="s">
        <v>212</v>
      </c>
      <c r="T101" s="13" t="s">
        <v>67</v>
      </c>
      <c r="U101" s="8"/>
      <c r="V101" s="8"/>
      <c r="W101" s="2" t="s">
        <v>617</v>
      </c>
    </row>
    <row r="102" spans="1:23" ht="62.1" customHeight="1">
      <c r="A102" s="11" t="s">
        <v>55</v>
      </c>
      <c r="B102" s="11" t="s">
        <v>13</v>
      </c>
      <c r="C102" s="11" t="s">
        <v>618</v>
      </c>
      <c r="D102" s="11" t="s">
        <v>619</v>
      </c>
      <c r="E102" s="11" t="s">
        <v>610</v>
      </c>
      <c r="F102" s="11" t="s">
        <v>59</v>
      </c>
      <c r="G102" s="11" t="s">
        <v>60</v>
      </c>
      <c r="H102" s="11" t="s">
        <v>234</v>
      </c>
      <c r="I102" s="14" t="s">
        <v>620</v>
      </c>
      <c r="J102" s="11" t="s">
        <v>621</v>
      </c>
      <c r="K102" s="11" t="s">
        <v>622</v>
      </c>
      <c r="L102" s="12" t="s">
        <v>23</v>
      </c>
      <c r="M102" s="12" t="s">
        <v>66</v>
      </c>
      <c r="N102" s="11" t="s">
        <v>67</v>
      </c>
      <c r="O102" s="11" t="s">
        <v>68</v>
      </c>
      <c r="P102" s="11">
        <v>1</v>
      </c>
      <c r="Q102" s="11" t="s">
        <v>123</v>
      </c>
      <c r="R102" s="11" t="s">
        <v>67</v>
      </c>
      <c r="S102" s="11" t="s">
        <v>212</v>
      </c>
      <c r="T102" s="13" t="s">
        <v>67</v>
      </c>
      <c r="U102" s="8"/>
      <c r="V102" s="8"/>
      <c r="W102" s="2"/>
    </row>
    <row r="103" spans="1:23" ht="113.25">
      <c r="A103" s="11" t="s">
        <v>55</v>
      </c>
      <c r="B103" s="11" t="s">
        <v>13</v>
      </c>
      <c r="C103" s="11" t="s">
        <v>623</v>
      </c>
      <c r="D103" s="11" t="s">
        <v>624</v>
      </c>
      <c r="E103" s="11" t="s">
        <v>133</v>
      </c>
      <c r="F103" s="11" t="s">
        <v>59</v>
      </c>
      <c r="G103" s="11" t="s">
        <v>60</v>
      </c>
      <c r="H103" s="11" t="s">
        <v>194</v>
      </c>
      <c r="I103" s="11" t="s">
        <v>625</v>
      </c>
      <c r="J103" s="14" t="s">
        <v>135</v>
      </c>
      <c r="K103" s="14" t="s">
        <v>626</v>
      </c>
      <c r="L103" s="12" t="s">
        <v>106</v>
      </c>
      <c r="M103" s="12" t="s">
        <v>67</v>
      </c>
      <c r="N103" s="11" t="s">
        <v>627</v>
      </c>
      <c r="O103" s="11" t="s">
        <v>68</v>
      </c>
      <c r="P103" s="11" t="s">
        <v>137</v>
      </c>
      <c r="Q103" s="11" t="s">
        <v>628</v>
      </c>
      <c r="R103" s="11" t="s">
        <v>67</v>
      </c>
      <c r="S103" s="11" t="s">
        <v>212</v>
      </c>
      <c r="T103" s="13" t="s">
        <v>67</v>
      </c>
      <c r="U103" s="8"/>
      <c r="V103" s="8"/>
      <c r="W103" s="2"/>
    </row>
    <row r="104" spans="1:23" ht="62.1" customHeight="1">
      <c r="A104" s="11" t="s">
        <v>55</v>
      </c>
      <c r="B104" s="11" t="s">
        <v>13</v>
      </c>
      <c r="C104" s="11" t="s">
        <v>629</v>
      </c>
      <c r="D104" s="11" t="s">
        <v>630</v>
      </c>
      <c r="E104" s="11" t="s">
        <v>133</v>
      </c>
      <c r="F104" s="11" t="s">
        <v>59</v>
      </c>
      <c r="G104" s="11" t="s">
        <v>60</v>
      </c>
      <c r="H104" s="11" t="s">
        <v>200</v>
      </c>
      <c r="I104" s="11" t="s">
        <v>631</v>
      </c>
      <c r="J104" s="14" t="s">
        <v>202</v>
      </c>
      <c r="K104" s="14" t="s">
        <v>632</v>
      </c>
      <c r="L104" s="12" t="s">
        <v>106</v>
      </c>
      <c r="M104" s="12" t="s">
        <v>67</v>
      </c>
      <c r="N104" s="11" t="s">
        <v>67</v>
      </c>
      <c r="O104" s="11" t="s">
        <v>68</v>
      </c>
      <c r="P104" s="11" t="s">
        <v>137</v>
      </c>
      <c r="Q104" s="11" t="s">
        <v>628</v>
      </c>
      <c r="R104" s="11" t="s">
        <v>67</v>
      </c>
      <c r="S104" s="11" t="s">
        <v>212</v>
      </c>
      <c r="T104" s="13" t="s">
        <v>67</v>
      </c>
      <c r="U104" s="8"/>
      <c r="V104" s="8"/>
      <c r="W104" s="2" t="s">
        <v>633</v>
      </c>
    </row>
    <row r="105" spans="1:23" ht="62.1" customHeight="1">
      <c r="A105" s="11" t="s">
        <v>55</v>
      </c>
      <c r="B105" s="11" t="s">
        <v>13</v>
      </c>
      <c r="C105" s="11" t="s">
        <v>634</v>
      </c>
      <c r="D105" s="11" t="s">
        <v>635</v>
      </c>
      <c r="E105" s="11" t="s">
        <v>636</v>
      </c>
      <c r="F105" s="11" t="s">
        <v>59</v>
      </c>
      <c r="G105" s="11" t="s">
        <v>60</v>
      </c>
      <c r="H105" s="11" t="s">
        <v>194</v>
      </c>
      <c r="I105" s="11" t="s">
        <v>224</v>
      </c>
      <c r="J105" s="11" t="s">
        <v>637</v>
      </c>
      <c r="K105" s="11" t="s">
        <v>638</v>
      </c>
      <c r="L105" s="12" t="s">
        <v>65</v>
      </c>
      <c r="M105" s="12" t="s">
        <v>66</v>
      </c>
      <c r="N105" s="11" t="s">
        <v>67</v>
      </c>
      <c r="O105" s="11" t="s">
        <v>68</v>
      </c>
      <c r="P105" s="11" t="s">
        <v>137</v>
      </c>
      <c r="Q105" s="11" t="s">
        <v>639</v>
      </c>
      <c r="R105" s="11" t="s">
        <v>67</v>
      </c>
      <c r="S105" s="11" t="s">
        <v>212</v>
      </c>
      <c r="T105" s="13" t="s">
        <v>67</v>
      </c>
      <c r="U105" s="8"/>
      <c r="V105" s="8"/>
      <c r="W105" s="2" t="s">
        <v>640</v>
      </c>
    </row>
    <row r="106" spans="1:23" ht="62.1" customHeight="1">
      <c r="A106" s="11" t="s">
        <v>55</v>
      </c>
      <c r="B106" s="11" t="s">
        <v>13</v>
      </c>
      <c r="C106" s="11" t="s">
        <v>641</v>
      </c>
      <c r="D106" s="11" t="s">
        <v>642</v>
      </c>
      <c r="E106" s="11" t="s">
        <v>636</v>
      </c>
      <c r="F106" s="11" t="s">
        <v>59</v>
      </c>
      <c r="G106" s="11" t="s">
        <v>60</v>
      </c>
      <c r="H106" s="11" t="s">
        <v>200</v>
      </c>
      <c r="I106" s="11" t="s">
        <v>643</v>
      </c>
      <c r="J106" s="11" t="s">
        <v>644</v>
      </c>
      <c r="K106" s="11" t="s">
        <v>645</v>
      </c>
      <c r="L106" s="12" t="s">
        <v>23</v>
      </c>
      <c r="M106" s="12" t="s">
        <v>66</v>
      </c>
      <c r="N106" s="11" t="s">
        <v>67</v>
      </c>
      <c r="O106" s="11" t="s">
        <v>68</v>
      </c>
      <c r="P106" s="11" t="s">
        <v>137</v>
      </c>
      <c r="Q106" s="11" t="s">
        <v>639</v>
      </c>
      <c r="R106" s="11" t="s">
        <v>67</v>
      </c>
      <c r="S106" s="11" t="s">
        <v>212</v>
      </c>
      <c r="T106" s="13" t="s">
        <v>67</v>
      </c>
      <c r="U106" s="8"/>
      <c r="V106" s="8"/>
      <c r="W106" s="2" t="s">
        <v>646</v>
      </c>
    </row>
    <row r="107" spans="1:23" ht="62.1" customHeight="1">
      <c r="A107" s="11" t="s">
        <v>55</v>
      </c>
      <c r="B107" s="11" t="s">
        <v>13</v>
      </c>
      <c r="C107" s="11" t="s">
        <v>647</v>
      </c>
      <c r="D107" s="11" t="s">
        <v>648</v>
      </c>
      <c r="E107" s="11" t="s">
        <v>140</v>
      </c>
      <c r="F107" s="11" t="s">
        <v>59</v>
      </c>
      <c r="G107" s="11" t="s">
        <v>60</v>
      </c>
      <c r="H107" s="11" t="s">
        <v>194</v>
      </c>
      <c r="I107" s="11" t="s">
        <v>649</v>
      </c>
      <c r="J107" s="14" t="s">
        <v>142</v>
      </c>
      <c r="K107" s="14" t="s">
        <v>650</v>
      </c>
      <c r="L107" s="12" t="s">
        <v>106</v>
      </c>
      <c r="M107" s="12" t="s">
        <v>67</v>
      </c>
      <c r="N107" s="11" t="s">
        <v>627</v>
      </c>
      <c r="O107" s="11" t="s">
        <v>68</v>
      </c>
      <c r="P107" s="11" t="s">
        <v>145</v>
      </c>
      <c r="Q107" s="11" t="s">
        <v>651</v>
      </c>
      <c r="R107" s="11" t="s">
        <v>67</v>
      </c>
      <c r="S107" s="11" t="s">
        <v>212</v>
      </c>
      <c r="T107" s="13" t="s">
        <v>67</v>
      </c>
      <c r="U107" s="8"/>
      <c r="V107" s="8"/>
      <c r="W107" s="2" t="s">
        <v>652</v>
      </c>
    </row>
    <row r="108" spans="1:23" ht="90" customHeight="1">
      <c r="A108" s="11" t="s">
        <v>55</v>
      </c>
      <c r="B108" s="11" t="s">
        <v>13</v>
      </c>
      <c r="C108" s="11" t="s">
        <v>653</v>
      </c>
      <c r="D108" s="11" t="s">
        <v>654</v>
      </c>
      <c r="E108" s="11" t="s">
        <v>140</v>
      </c>
      <c r="F108" s="11" t="s">
        <v>59</v>
      </c>
      <c r="G108" s="11" t="s">
        <v>60</v>
      </c>
      <c r="H108" s="11" t="s">
        <v>200</v>
      </c>
      <c r="I108" s="11" t="s">
        <v>655</v>
      </c>
      <c r="J108" s="14" t="s">
        <v>202</v>
      </c>
      <c r="K108" s="14" t="s">
        <v>656</v>
      </c>
      <c r="L108" s="12" t="s">
        <v>106</v>
      </c>
      <c r="M108" s="12" t="s">
        <v>67</v>
      </c>
      <c r="N108" s="11" t="s">
        <v>627</v>
      </c>
      <c r="O108" s="11" t="s">
        <v>68</v>
      </c>
      <c r="P108" s="11" t="s">
        <v>145</v>
      </c>
      <c r="Q108" s="11" t="s">
        <v>651</v>
      </c>
      <c r="R108" s="11" t="s">
        <v>67</v>
      </c>
      <c r="S108" s="11" t="s">
        <v>212</v>
      </c>
      <c r="T108" s="13" t="s">
        <v>67</v>
      </c>
      <c r="U108" s="8"/>
      <c r="V108" s="8"/>
      <c r="W108" s="2"/>
    </row>
    <row r="109" spans="1:23" ht="62.1" customHeight="1">
      <c r="A109" s="11" t="s">
        <v>55</v>
      </c>
      <c r="B109" s="11" t="s">
        <v>13</v>
      </c>
      <c r="C109" s="11" t="s">
        <v>657</v>
      </c>
      <c r="D109" s="11" t="s">
        <v>658</v>
      </c>
      <c r="E109" s="11" t="s">
        <v>148</v>
      </c>
      <c r="F109" s="11" t="s">
        <v>59</v>
      </c>
      <c r="G109" s="11" t="s">
        <v>60</v>
      </c>
      <c r="H109" s="11" t="s">
        <v>194</v>
      </c>
      <c r="I109" s="11" t="s">
        <v>659</v>
      </c>
      <c r="J109" s="14" t="s">
        <v>150</v>
      </c>
      <c r="K109" s="14" t="s">
        <v>660</v>
      </c>
      <c r="L109" s="12" t="s">
        <v>106</v>
      </c>
      <c r="M109" s="12" t="s">
        <v>67</v>
      </c>
      <c r="N109" s="11" t="s">
        <v>627</v>
      </c>
      <c r="O109" s="11" t="s">
        <v>68</v>
      </c>
      <c r="P109" s="11" t="s">
        <v>152</v>
      </c>
      <c r="Q109" s="11" t="s">
        <v>661</v>
      </c>
      <c r="R109" s="11" t="s">
        <v>67</v>
      </c>
      <c r="S109" s="11" t="s">
        <v>212</v>
      </c>
      <c r="T109" s="13" t="s">
        <v>67</v>
      </c>
      <c r="U109" s="8"/>
      <c r="V109" s="8"/>
      <c r="W109" s="2" t="s">
        <v>662</v>
      </c>
    </row>
    <row r="110" spans="1:23" ht="62.1" customHeight="1">
      <c r="A110" s="11" t="s">
        <v>55</v>
      </c>
      <c r="B110" s="11" t="s">
        <v>13</v>
      </c>
      <c r="C110" s="11" t="s">
        <v>663</v>
      </c>
      <c r="D110" s="11" t="s">
        <v>664</v>
      </c>
      <c r="E110" s="11" t="s">
        <v>148</v>
      </c>
      <c r="F110" s="11" t="s">
        <v>59</v>
      </c>
      <c r="G110" s="11" t="s">
        <v>60</v>
      </c>
      <c r="H110" s="11" t="s">
        <v>200</v>
      </c>
      <c r="I110" s="11" t="s">
        <v>665</v>
      </c>
      <c r="J110" s="14" t="s">
        <v>202</v>
      </c>
      <c r="K110" s="14" t="s">
        <v>666</v>
      </c>
      <c r="L110" s="12" t="s">
        <v>106</v>
      </c>
      <c r="M110" s="12" t="s">
        <v>67</v>
      </c>
      <c r="N110" s="17" t="s">
        <v>627</v>
      </c>
      <c r="O110" s="11" t="s">
        <v>68</v>
      </c>
      <c r="P110" s="11" t="s">
        <v>152</v>
      </c>
      <c r="Q110" s="11" t="s">
        <v>661</v>
      </c>
      <c r="R110" s="11" t="s">
        <v>67</v>
      </c>
      <c r="S110" s="11" t="s">
        <v>212</v>
      </c>
      <c r="T110" s="13" t="s">
        <v>67</v>
      </c>
      <c r="U110" s="8"/>
      <c r="V110" s="8"/>
      <c r="W110" s="2" t="s">
        <v>667</v>
      </c>
    </row>
    <row r="111" spans="1:23" ht="75.95" customHeight="1">
      <c r="A111" s="11" t="s">
        <v>55</v>
      </c>
      <c r="B111" s="11" t="s">
        <v>13</v>
      </c>
      <c r="C111" s="11" t="s">
        <v>668</v>
      </c>
      <c r="D111" s="11" t="s">
        <v>669</v>
      </c>
      <c r="E111" s="11" t="s">
        <v>148</v>
      </c>
      <c r="F111" s="11" t="s">
        <v>59</v>
      </c>
      <c r="G111" s="11" t="s">
        <v>60</v>
      </c>
      <c r="H111" s="11" t="s">
        <v>234</v>
      </c>
      <c r="I111" s="11" t="s">
        <v>235</v>
      </c>
      <c r="J111" s="15" t="s">
        <v>670</v>
      </c>
      <c r="K111" s="14" t="s">
        <v>671</v>
      </c>
      <c r="L111" s="12" t="s">
        <v>672</v>
      </c>
      <c r="M111" s="12" t="s">
        <v>673</v>
      </c>
      <c r="N111" s="11" t="s">
        <v>674</v>
      </c>
      <c r="O111" s="11" t="s">
        <v>68</v>
      </c>
      <c r="P111" s="11" t="s">
        <v>152</v>
      </c>
      <c r="Q111" s="11" t="s">
        <v>661</v>
      </c>
      <c r="R111" s="11" t="s">
        <v>67</v>
      </c>
      <c r="S111" s="11" t="s">
        <v>212</v>
      </c>
      <c r="T111" s="13" t="s">
        <v>67</v>
      </c>
      <c r="U111" s="8"/>
      <c r="V111" s="8"/>
      <c r="W111" s="2"/>
    </row>
    <row r="112" spans="1:23" ht="62.1" customHeight="1">
      <c r="A112" s="11" t="s">
        <v>55</v>
      </c>
      <c r="B112" s="11" t="s">
        <v>13</v>
      </c>
      <c r="C112" s="11" t="s">
        <v>675</v>
      </c>
      <c r="D112" s="11" t="s">
        <v>676</v>
      </c>
      <c r="E112" s="11" t="s">
        <v>155</v>
      </c>
      <c r="F112" s="11" t="s">
        <v>59</v>
      </c>
      <c r="G112" s="11" t="s">
        <v>60</v>
      </c>
      <c r="H112" s="11" t="s">
        <v>194</v>
      </c>
      <c r="I112" s="11" t="s">
        <v>677</v>
      </c>
      <c r="J112" s="14" t="s">
        <v>678</v>
      </c>
      <c r="K112" s="14" t="s">
        <v>679</v>
      </c>
      <c r="L112" s="12" t="s">
        <v>106</v>
      </c>
      <c r="M112" s="12" t="s">
        <v>67</v>
      </c>
      <c r="N112" s="11" t="s">
        <v>627</v>
      </c>
      <c r="O112" s="11" t="s">
        <v>68</v>
      </c>
      <c r="P112" s="11" t="s">
        <v>159</v>
      </c>
      <c r="Q112" s="11">
        <v>2156</v>
      </c>
      <c r="R112" s="11" t="s">
        <v>67</v>
      </c>
      <c r="S112" s="11" t="s">
        <v>212</v>
      </c>
      <c r="T112" s="13" t="s">
        <v>67</v>
      </c>
      <c r="U112" s="8"/>
      <c r="V112" s="8"/>
      <c r="W112" s="2"/>
    </row>
    <row r="113" spans="1:23" ht="62.1" customHeight="1">
      <c r="A113" s="11" t="s">
        <v>55</v>
      </c>
      <c r="B113" s="11" t="s">
        <v>13</v>
      </c>
      <c r="C113" s="11" t="s">
        <v>680</v>
      </c>
      <c r="D113" s="11" t="s">
        <v>681</v>
      </c>
      <c r="E113" s="11" t="s">
        <v>155</v>
      </c>
      <c r="F113" s="11" t="s">
        <v>59</v>
      </c>
      <c r="G113" s="11" t="s">
        <v>60</v>
      </c>
      <c r="H113" s="11" t="s">
        <v>200</v>
      </c>
      <c r="I113" s="11" t="s">
        <v>682</v>
      </c>
      <c r="J113" s="14" t="s">
        <v>202</v>
      </c>
      <c r="K113" s="14" t="s">
        <v>683</v>
      </c>
      <c r="L113" s="12" t="s">
        <v>106</v>
      </c>
      <c r="M113" s="12" t="s">
        <v>67</v>
      </c>
      <c r="N113" s="11" t="s">
        <v>627</v>
      </c>
      <c r="O113" s="11" t="s">
        <v>68</v>
      </c>
      <c r="P113" s="11" t="s">
        <v>159</v>
      </c>
      <c r="Q113" s="11">
        <v>2156</v>
      </c>
      <c r="R113" s="11" t="s">
        <v>67</v>
      </c>
      <c r="S113" s="11" t="s">
        <v>212</v>
      </c>
      <c r="T113" s="13" t="s">
        <v>67</v>
      </c>
      <c r="U113" s="8"/>
      <c r="V113" s="8"/>
      <c r="W113" s="2"/>
    </row>
    <row r="114" spans="1:23" ht="104.1" customHeight="1">
      <c r="A114" s="11" t="s">
        <v>55</v>
      </c>
      <c r="B114" s="11" t="s">
        <v>13</v>
      </c>
      <c r="C114" s="11" t="s">
        <v>684</v>
      </c>
      <c r="D114" s="11" t="s">
        <v>685</v>
      </c>
      <c r="E114" s="11" t="s">
        <v>155</v>
      </c>
      <c r="F114" s="11" t="s">
        <v>59</v>
      </c>
      <c r="G114" s="11" t="s">
        <v>60</v>
      </c>
      <c r="H114" s="11" t="s">
        <v>234</v>
      </c>
      <c r="I114" s="11" t="s">
        <v>235</v>
      </c>
      <c r="J114" s="14" t="s">
        <v>202</v>
      </c>
      <c r="K114" s="14" t="s">
        <v>686</v>
      </c>
      <c r="L114" s="12" t="s">
        <v>25</v>
      </c>
      <c r="M114" s="12" t="s">
        <v>67</v>
      </c>
      <c r="N114" s="11" t="s">
        <v>674</v>
      </c>
      <c r="O114" s="11" t="s">
        <v>68</v>
      </c>
      <c r="P114" s="11" t="s">
        <v>159</v>
      </c>
      <c r="Q114" s="11">
        <v>2156</v>
      </c>
      <c r="R114" s="11" t="s">
        <v>67</v>
      </c>
      <c r="S114" s="11" t="s">
        <v>212</v>
      </c>
      <c r="T114" s="13" t="s">
        <v>67</v>
      </c>
      <c r="U114" s="8"/>
      <c r="V114" s="8"/>
      <c r="W114" s="2"/>
    </row>
    <row r="115" spans="1:23" ht="62.1" customHeight="1">
      <c r="A115" s="11" t="s">
        <v>55</v>
      </c>
      <c r="B115" s="11" t="s">
        <v>13</v>
      </c>
      <c r="C115" s="11" t="s">
        <v>687</v>
      </c>
      <c r="D115" s="11" t="s">
        <v>688</v>
      </c>
      <c r="E115" s="11" t="s">
        <v>689</v>
      </c>
      <c r="F115" s="11" t="s">
        <v>59</v>
      </c>
      <c r="G115" s="11" t="s">
        <v>60</v>
      </c>
      <c r="H115" s="11" t="s">
        <v>194</v>
      </c>
      <c r="I115" s="11" t="s">
        <v>224</v>
      </c>
      <c r="J115" s="11" t="s">
        <v>690</v>
      </c>
      <c r="K115" s="11" t="s">
        <v>691</v>
      </c>
      <c r="L115" s="12" t="s">
        <v>65</v>
      </c>
      <c r="M115" s="12" t="s">
        <v>66</v>
      </c>
      <c r="N115" s="11" t="s">
        <v>67</v>
      </c>
      <c r="O115" s="11" t="s">
        <v>68</v>
      </c>
      <c r="P115" s="11" t="s">
        <v>692</v>
      </c>
      <c r="Q115" s="11" t="s">
        <v>67</v>
      </c>
      <c r="R115" s="11" t="s">
        <v>67</v>
      </c>
      <c r="S115" s="11" t="s">
        <v>212</v>
      </c>
      <c r="T115" s="13" t="s">
        <v>67</v>
      </c>
      <c r="U115" s="8"/>
      <c r="V115" s="8"/>
      <c r="W115" s="2"/>
    </row>
    <row r="116" spans="1:23" ht="62.1" customHeight="1">
      <c r="A116" s="11" t="s">
        <v>55</v>
      </c>
      <c r="B116" s="11" t="s">
        <v>13</v>
      </c>
      <c r="C116" s="11" t="s">
        <v>693</v>
      </c>
      <c r="D116" s="11" t="s">
        <v>694</v>
      </c>
      <c r="E116" s="11" t="s">
        <v>689</v>
      </c>
      <c r="F116" s="11" t="s">
        <v>59</v>
      </c>
      <c r="G116" s="11" t="s">
        <v>60</v>
      </c>
      <c r="H116" s="11" t="s">
        <v>200</v>
      </c>
      <c r="I116" s="11" t="s">
        <v>695</v>
      </c>
      <c r="J116" s="11" t="s">
        <v>696</v>
      </c>
      <c r="K116" s="11" t="s">
        <v>697</v>
      </c>
      <c r="L116" s="12" t="s">
        <v>23</v>
      </c>
      <c r="M116" s="12" t="s">
        <v>66</v>
      </c>
      <c r="N116" s="11" t="s">
        <v>67</v>
      </c>
      <c r="O116" s="11" t="s">
        <v>68</v>
      </c>
      <c r="P116" s="11" t="s">
        <v>692</v>
      </c>
      <c r="Q116" s="11" t="s">
        <v>67</v>
      </c>
      <c r="R116" s="11" t="s">
        <v>67</v>
      </c>
      <c r="S116" s="11" t="s">
        <v>212</v>
      </c>
      <c r="T116" s="13" t="s">
        <v>67</v>
      </c>
      <c r="U116" s="8"/>
      <c r="V116" s="8"/>
      <c r="W116" s="2"/>
    </row>
    <row r="117" spans="1:23" ht="62.1" customHeight="1">
      <c r="A117" s="11" t="s">
        <v>55</v>
      </c>
      <c r="B117" s="11" t="s">
        <v>13</v>
      </c>
      <c r="C117" s="11" t="s">
        <v>698</v>
      </c>
      <c r="D117" s="11" t="s">
        <v>699</v>
      </c>
      <c r="E117" s="11" t="s">
        <v>689</v>
      </c>
      <c r="F117" s="11" t="s">
        <v>59</v>
      </c>
      <c r="G117" s="11" t="s">
        <v>60</v>
      </c>
      <c r="H117" s="11" t="s">
        <v>234</v>
      </c>
      <c r="I117" s="11" t="s">
        <v>235</v>
      </c>
      <c r="J117" s="11" t="s">
        <v>67</v>
      </c>
      <c r="K117" s="11" t="s">
        <v>700</v>
      </c>
      <c r="L117" s="12" t="s">
        <v>25</v>
      </c>
      <c r="M117" s="12" t="s">
        <v>67</v>
      </c>
      <c r="N117" s="11" t="s">
        <v>237</v>
      </c>
      <c r="O117" s="11" t="s">
        <v>68</v>
      </c>
      <c r="P117" s="11" t="s">
        <v>692</v>
      </c>
      <c r="Q117" s="11" t="s">
        <v>67</v>
      </c>
      <c r="R117" s="11" t="s">
        <v>67</v>
      </c>
      <c r="S117" s="11" t="s">
        <v>212</v>
      </c>
      <c r="T117" s="13" t="s">
        <v>67</v>
      </c>
      <c r="U117" s="8"/>
      <c r="V117" s="8"/>
      <c r="W117" s="2" t="s">
        <v>701</v>
      </c>
    </row>
    <row r="118" spans="1:23" ht="62.1" customHeight="1">
      <c r="A118" s="11" t="s">
        <v>55</v>
      </c>
      <c r="B118" s="11" t="s">
        <v>13</v>
      </c>
      <c r="C118" s="11" t="s">
        <v>702</v>
      </c>
      <c r="D118" s="11" t="s">
        <v>703</v>
      </c>
      <c r="E118" s="11" t="s">
        <v>704</v>
      </c>
      <c r="F118" s="11" t="s">
        <v>59</v>
      </c>
      <c r="G118" s="11" t="s">
        <v>60</v>
      </c>
      <c r="H118" s="11" t="s">
        <v>194</v>
      </c>
      <c r="I118" s="11" t="s">
        <v>705</v>
      </c>
      <c r="J118" s="11" t="s">
        <v>706</v>
      </c>
      <c r="K118" s="11" t="s">
        <v>707</v>
      </c>
      <c r="L118" s="12" t="s">
        <v>65</v>
      </c>
      <c r="M118" s="12" t="s">
        <v>66</v>
      </c>
      <c r="N118" s="11" t="s">
        <v>67</v>
      </c>
      <c r="O118" s="11" t="s">
        <v>68</v>
      </c>
      <c r="P118" s="11" t="s">
        <v>152</v>
      </c>
      <c r="Q118" s="11" t="s">
        <v>67</v>
      </c>
      <c r="R118" s="11" t="s">
        <v>67</v>
      </c>
      <c r="S118" s="11" t="s">
        <v>212</v>
      </c>
      <c r="T118" s="13" t="s">
        <v>67</v>
      </c>
      <c r="U118" s="8"/>
      <c r="V118" s="8"/>
      <c r="W118" s="2" t="s">
        <v>708</v>
      </c>
    </row>
    <row r="119" spans="1:23" ht="90" customHeight="1">
      <c r="A119" s="11" t="s">
        <v>55</v>
      </c>
      <c r="B119" s="11" t="s">
        <v>13</v>
      </c>
      <c r="C119" s="11" t="s">
        <v>709</v>
      </c>
      <c r="D119" s="11" t="s">
        <v>710</v>
      </c>
      <c r="E119" s="11" t="s">
        <v>704</v>
      </c>
      <c r="F119" s="11" t="s">
        <v>59</v>
      </c>
      <c r="G119" s="11" t="s">
        <v>60</v>
      </c>
      <c r="H119" s="11" t="s">
        <v>200</v>
      </c>
      <c r="I119" s="11" t="s">
        <v>711</v>
      </c>
      <c r="J119" s="11" t="s">
        <v>712</v>
      </c>
      <c r="K119" s="11" t="s">
        <v>713</v>
      </c>
      <c r="L119" s="12" t="s">
        <v>23</v>
      </c>
      <c r="M119" s="12" t="s">
        <v>66</v>
      </c>
      <c r="N119" s="11" t="s">
        <v>67</v>
      </c>
      <c r="O119" s="11" t="s">
        <v>68</v>
      </c>
      <c r="P119" s="11" t="s">
        <v>152</v>
      </c>
      <c r="Q119" s="11" t="s">
        <v>67</v>
      </c>
      <c r="R119" s="11" t="s">
        <v>67</v>
      </c>
      <c r="S119" s="11" t="s">
        <v>212</v>
      </c>
      <c r="T119" s="13" t="s">
        <v>67</v>
      </c>
      <c r="U119" s="8"/>
      <c r="V119" s="8"/>
      <c r="W119" s="2"/>
    </row>
    <row r="120" spans="1:23" ht="48" customHeight="1">
      <c r="A120" s="11" t="s">
        <v>55</v>
      </c>
      <c r="B120" s="11" t="s">
        <v>13</v>
      </c>
      <c r="C120" s="11" t="s">
        <v>714</v>
      </c>
      <c r="D120" s="11" t="s">
        <v>715</v>
      </c>
      <c r="E120" s="11" t="s">
        <v>162</v>
      </c>
      <c r="F120" s="11" t="s">
        <v>59</v>
      </c>
      <c r="G120" s="11" t="s">
        <v>60</v>
      </c>
      <c r="H120" s="11" t="s">
        <v>194</v>
      </c>
      <c r="I120" s="11" t="s">
        <v>383</v>
      </c>
      <c r="J120" s="14" t="s">
        <v>202</v>
      </c>
      <c r="K120" s="14" t="s">
        <v>716</v>
      </c>
      <c r="L120" s="12" t="s">
        <v>106</v>
      </c>
      <c r="M120" s="12" t="s">
        <v>67</v>
      </c>
      <c r="N120" s="11" t="s">
        <v>627</v>
      </c>
      <c r="O120" s="11" t="s">
        <v>68</v>
      </c>
      <c r="P120" s="11" t="s">
        <v>167</v>
      </c>
      <c r="Q120" s="11" t="s">
        <v>67</v>
      </c>
      <c r="R120" s="11" t="s">
        <v>67</v>
      </c>
      <c r="S120" s="11" t="s">
        <v>212</v>
      </c>
      <c r="T120" s="13" t="s">
        <v>67</v>
      </c>
      <c r="U120" s="8"/>
      <c r="V120" s="8"/>
      <c r="W120" s="2" t="s">
        <v>717</v>
      </c>
    </row>
    <row r="121" spans="1:23" ht="48" customHeight="1">
      <c r="A121" s="11" t="s">
        <v>55</v>
      </c>
      <c r="B121" s="11" t="s">
        <v>13</v>
      </c>
      <c r="C121" s="11" t="s">
        <v>718</v>
      </c>
      <c r="D121" s="11" t="s">
        <v>719</v>
      </c>
      <c r="E121" s="11" t="s">
        <v>162</v>
      </c>
      <c r="F121" s="11" t="s">
        <v>59</v>
      </c>
      <c r="G121" s="11" t="s">
        <v>60</v>
      </c>
      <c r="H121" s="11" t="s">
        <v>200</v>
      </c>
      <c r="I121" s="11" t="s">
        <v>720</v>
      </c>
      <c r="J121" s="14" t="s">
        <v>202</v>
      </c>
      <c r="K121" s="14" t="s">
        <v>721</v>
      </c>
      <c r="L121" s="12" t="s">
        <v>106</v>
      </c>
      <c r="M121" s="12" t="s">
        <v>67</v>
      </c>
      <c r="N121" s="11" t="s">
        <v>627</v>
      </c>
      <c r="O121" s="11" t="s">
        <v>68</v>
      </c>
      <c r="P121" s="11" t="s">
        <v>167</v>
      </c>
      <c r="Q121" s="11" t="s">
        <v>67</v>
      </c>
      <c r="R121" s="11" t="s">
        <v>67</v>
      </c>
      <c r="S121" s="11" t="s">
        <v>212</v>
      </c>
      <c r="T121" s="13" t="s">
        <v>67</v>
      </c>
      <c r="U121" s="8"/>
      <c r="V121" s="8"/>
      <c r="W121" s="2"/>
    </row>
    <row r="122" spans="1:23" ht="48" customHeight="1">
      <c r="A122" s="11" t="s">
        <v>55</v>
      </c>
      <c r="B122" s="11" t="s">
        <v>13</v>
      </c>
      <c r="C122" s="11" t="s">
        <v>722</v>
      </c>
      <c r="D122" s="11" t="s">
        <v>723</v>
      </c>
      <c r="E122" s="11" t="s">
        <v>162</v>
      </c>
      <c r="F122" s="11" t="s">
        <v>59</v>
      </c>
      <c r="G122" s="11" t="s">
        <v>60</v>
      </c>
      <c r="H122" s="11" t="s">
        <v>234</v>
      </c>
      <c r="I122" s="11" t="s">
        <v>235</v>
      </c>
      <c r="J122" s="15" t="s">
        <v>724</v>
      </c>
      <c r="K122" s="14" t="s">
        <v>725</v>
      </c>
      <c r="L122" s="12" t="s">
        <v>672</v>
      </c>
      <c r="M122" s="12" t="s">
        <v>673</v>
      </c>
      <c r="N122" s="14" t="s">
        <v>726</v>
      </c>
      <c r="O122" s="11" t="s">
        <v>68</v>
      </c>
      <c r="P122" s="11" t="s">
        <v>167</v>
      </c>
      <c r="Q122" s="11" t="s">
        <v>67</v>
      </c>
      <c r="R122" s="11" t="s">
        <v>67</v>
      </c>
      <c r="S122" s="11" t="s">
        <v>212</v>
      </c>
      <c r="T122" s="13" t="s">
        <v>67</v>
      </c>
      <c r="U122" s="8"/>
      <c r="V122" s="8"/>
      <c r="W122" s="2" t="s">
        <v>727</v>
      </c>
    </row>
    <row r="123" spans="1:23" ht="48" customHeight="1">
      <c r="A123" s="11" t="s">
        <v>55</v>
      </c>
      <c r="B123" s="11" t="s">
        <v>13</v>
      </c>
      <c r="C123" s="11" t="s">
        <v>728</v>
      </c>
      <c r="D123" s="11" t="s">
        <v>729</v>
      </c>
      <c r="E123" s="11" t="s">
        <v>170</v>
      </c>
      <c r="F123" s="11" t="s">
        <v>59</v>
      </c>
      <c r="G123" s="11" t="s">
        <v>60</v>
      </c>
      <c r="H123" s="11" t="s">
        <v>194</v>
      </c>
      <c r="I123" s="11" t="s">
        <v>730</v>
      </c>
      <c r="J123" s="11" t="s">
        <v>731</v>
      </c>
      <c r="K123" s="11" t="s">
        <v>732</v>
      </c>
      <c r="L123" s="12" t="s">
        <v>65</v>
      </c>
      <c r="M123" s="12" t="s">
        <v>66</v>
      </c>
      <c r="N123" s="11" t="s">
        <v>67</v>
      </c>
      <c r="O123" s="11" t="s">
        <v>68</v>
      </c>
      <c r="P123" s="11">
        <v>1</v>
      </c>
      <c r="Q123" s="11" t="s">
        <v>175</v>
      </c>
      <c r="R123" s="11" t="s">
        <v>67</v>
      </c>
      <c r="S123" s="11" t="s">
        <v>212</v>
      </c>
      <c r="T123" s="13" t="s">
        <v>67</v>
      </c>
      <c r="U123" s="8"/>
      <c r="V123" s="8"/>
      <c r="W123" s="2" t="s">
        <v>733</v>
      </c>
    </row>
    <row r="124" spans="1:23" ht="48" customHeight="1">
      <c r="A124" s="11" t="s">
        <v>55</v>
      </c>
      <c r="B124" s="11" t="s">
        <v>13</v>
      </c>
      <c r="C124" s="11" t="s">
        <v>734</v>
      </c>
      <c r="D124" s="11" t="s">
        <v>735</v>
      </c>
      <c r="E124" s="11" t="s">
        <v>170</v>
      </c>
      <c r="F124" s="11" t="s">
        <v>59</v>
      </c>
      <c r="G124" s="11" t="s">
        <v>60</v>
      </c>
      <c r="H124" s="11" t="s">
        <v>200</v>
      </c>
      <c r="I124" s="11" t="s">
        <v>400</v>
      </c>
      <c r="J124" s="14" t="s">
        <v>202</v>
      </c>
      <c r="K124" s="14" t="s">
        <v>736</v>
      </c>
      <c r="L124" s="12" t="s">
        <v>106</v>
      </c>
      <c r="M124" s="12" t="s">
        <v>67</v>
      </c>
      <c r="N124" s="11" t="s">
        <v>67</v>
      </c>
      <c r="O124" s="11" t="s">
        <v>68</v>
      </c>
      <c r="P124" s="11">
        <v>1</v>
      </c>
      <c r="Q124" s="11" t="s">
        <v>175</v>
      </c>
      <c r="R124" s="11" t="s">
        <v>67</v>
      </c>
      <c r="S124" s="11" t="s">
        <v>212</v>
      </c>
      <c r="T124" s="13" t="s">
        <v>67</v>
      </c>
      <c r="U124" s="8"/>
      <c r="V124" s="8"/>
      <c r="W124" s="2" t="s">
        <v>737</v>
      </c>
    </row>
    <row r="125" spans="1:23" ht="48" customHeight="1">
      <c r="A125" s="11" t="s">
        <v>55</v>
      </c>
      <c r="B125" s="11" t="s">
        <v>13</v>
      </c>
      <c r="C125" s="11" t="s">
        <v>738</v>
      </c>
      <c r="D125" s="11" t="s">
        <v>739</v>
      </c>
      <c r="E125" s="11" t="s">
        <v>170</v>
      </c>
      <c r="F125" s="11" t="s">
        <v>59</v>
      </c>
      <c r="G125" s="11" t="s">
        <v>60</v>
      </c>
      <c r="H125" s="11" t="s">
        <v>234</v>
      </c>
      <c r="I125" s="11" t="s">
        <v>740</v>
      </c>
      <c r="J125" s="11" t="s">
        <v>741</v>
      </c>
      <c r="K125" s="11" t="s">
        <v>742</v>
      </c>
      <c r="L125" s="12" t="s">
        <v>23</v>
      </c>
      <c r="M125" s="12" t="s">
        <v>66</v>
      </c>
      <c r="N125" s="11" t="s">
        <v>67</v>
      </c>
      <c r="O125" s="11" t="s">
        <v>68</v>
      </c>
      <c r="P125" s="11">
        <v>1</v>
      </c>
      <c r="Q125" s="11" t="s">
        <v>175</v>
      </c>
      <c r="R125" s="11" t="s">
        <v>67</v>
      </c>
      <c r="S125" s="11" t="s">
        <v>212</v>
      </c>
      <c r="T125" s="13" t="s">
        <v>67</v>
      </c>
      <c r="U125" s="8"/>
      <c r="V125" s="8"/>
      <c r="W125" s="2"/>
    </row>
    <row r="126" spans="1:23" ht="48" customHeight="1">
      <c r="A126" s="11" t="s">
        <v>55</v>
      </c>
      <c r="B126" s="11" t="s">
        <v>13</v>
      </c>
      <c r="C126" s="11" t="s">
        <v>743</v>
      </c>
      <c r="D126" s="11" t="s">
        <v>744</v>
      </c>
      <c r="E126" s="11" t="s">
        <v>178</v>
      </c>
      <c r="F126" s="11" t="s">
        <v>59</v>
      </c>
      <c r="G126" s="11" t="s">
        <v>60</v>
      </c>
      <c r="H126" s="11" t="s">
        <v>194</v>
      </c>
      <c r="I126" s="11" t="s">
        <v>745</v>
      </c>
      <c r="J126" s="14" t="s">
        <v>180</v>
      </c>
      <c r="K126" s="14" t="s">
        <v>746</v>
      </c>
      <c r="L126" s="12" t="s">
        <v>106</v>
      </c>
      <c r="M126" s="12" t="s">
        <v>67</v>
      </c>
      <c r="N126" s="11" t="s">
        <v>627</v>
      </c>
      <c r="O126" s="11" t="s">
        <v>68</v>
      </c>
      <c r="P126" s="11" t="s">
        <v>183</v>
      </c>
      <c r="Q126" s="11" t="s">
        <v>747</v>
      </c>
      <c r="R126" s="11" t="s">
        <v>67</v>
      </c>
      <c r="S126" s="11" t="s">
        <v>212</v>
      </c>
      <c r="T126" s="13" t="s">
        <v>67</v>
      </c>
      <c r="U126" s="8"/>
      <c r="V126" s="8"/>
      <c r="W126" s="2"/>
    </row>
    <row r="127" spans="1:23" ht="48" customHeight="1">
      <c r="A127" s="11" t="s">
        <v>55</v>
      </c>
      <c r="B127" s="11" t="s">
        <v>13</v>
      </c>
      <c r="C127" s="11" t="s">
        <v>748</v>
      </c>
      <c r="D127" s="11" t="s">
        <v>749</v>
      </c>
      <c r="E127" s="11" t="s">
        <v>178</v>
      </c>
      <c r="F127" s="11" t="s">
        <v>59</v>
      </c>
      <c r="G127" s="11" t="s">
        <v>60</v>
      </c>
      <c r="H127" s="11" t="s">
        <v>750</v>
      </c>
      <c r="I127" s="11" t="s">
        <v>751</v>
      </c>
      <c r="J127" s="15" t="s">
        <v>752</v>
      </c>
      <c r="K127" s="15" t="s">
        <v>753</v>
      </c>
      <c r="L127" s="12" t="s">
        <v>23</v>
      </c>
      <c r="M127" s="12" t="s">
        <v>66</v>
      </c>
      <c r="N127" s="11" t="s">
        <v>67</v>
      </c>
      <c r="O127" s="11" t="s">
        <v>68</v>
      </c>
      <c r="P127" s="11" t="s">
        <v>183</v>
      </c>
      <c r="Q127" s="11" t="s">
        <v>747</v>
      </c>
      <c r="R127" s="11" t="s">
        <v>67</v>
      </c>
      <c r="S127" s="11" t="s">
        <v>212</v>
      </c>
      <c r="T127" s="13" t="s">
        <v>67</v>
      </c>
      <c r="U127" s="8"/>
      <c r="V127" s="8"/>
      <c r="W127" s="2"/>
    </row>
    <row r="128" spans="1:23" ht="48" customHeight="1">
      <c r="A128" s="11" t="s">
        <v>55</v>
      </c>
      <c r="B128" s="11" t="s">
        <v>13</v>
      </c>
      <c r="C128" s="11" t="s">
        <v>754</v>
      </c>
      <c r="D128" s="11" t="s">
        <v>755</v>
      </c>
      <c r="E128" s="11" t="s">
        <v>756</v>
      </c>
      <c r="F128" s="11" t="s">
        <v>59</v>
      </c>
      <c r="G128" s="11" t="s">
        <v>60</v>
      </c>
      <c r="H128" s="11" t="s">
        <v>194</v>
      </c>
      <c r="I128" s="11" t="s">
        <v>383</v>
      </c>
      <c r="J128" s="11" t="s">
        <v>757</v>
      </c>
      <c r="K128" s="11" t="s">
        <v>758</v>
      </c>
      <c r="L128" s="12" t="s">
        <v>65</v>
      </c>
      <c r="M128" s="12" t="s">
        <v>66</v>
      </c>
      <c r="N128" s="11" t="s">
        <v>67</v>
      </c>
      <c r="O128" s="11" t="s">
        <v>68</v>
      </c>
      <c r="P128" s="11">
        <v>1</v>
      </c>
      <c r="Q128" s="11" t="s">
        <v>175</v>
      </c>
      <c r="R128" s="11" t="s">
        <v>67</v>
      </c>
      <c r="S128" s="11" t="s">
        <v>212</v>
      </c>
      <c r="T128" s="13" t="s">
        <v>67</v>
      </c>
      <c r="U128" s="8"/>
      <c r="V128" s="8"/>
      <c r="W128" s="2"/>
    </row>
    <row r="129" spans="1:23" ht="48" customHeight="1">
      <c r="A129" s="11" t="s">
        <v>55</v>
      </c>
      <c r="B129" s="11" t="s">
        <v>13</v>
      </c>
      <c r="C129" s="11" t="s">
        <v>759</v>
      </c>
      <c r="D129" s="11" t="s">
        <v>760</v>
      </c>
      <c r="E129" s="11" t="s">
        <v>756</v>
      </c>
      <c r="F129" s="11" t="s">
        <v>59</v>
      </c>
      <c r="G129" s="11" t="s">
        <v>60</v>
      </c>
      <c r="H129" s="11" t="s">
        <v>200</v>
      </c>
      <c r="I129" s="11" t="s">
        <v>400</v>
      </c>
      <c r="J129" s="11" t="s">
        <v>761</v>
      </c>
      <c r="K129" s="11" t="s">
        <v>762</v>
      </c>
      <c r="L129" s="12" t="s">
        <v>106</v>
      </c>
      <c r="M129" s="12" t="s">
        <v>67</v>
      </c>
      <c r="N129" s="11" t="s">
        <v>604</v>
      </c>
      <c r="O129" s="11" t="s">
        <v>68</v>
      </c>
      <c r="P129" s="11">
        <v>1</v>
      </c>
      <c r="Q129" s="11" t="s">
        <v>175</v>
      </c>
      <c r="R129" s="11" t="s">
        <v>67</v>
      </c>
      <c r="S129" s="11" t="s">
        <v>212</v>
      </c>
      <c r="T129" s="13" t="s">
        <v>67</v>
      </c>
      <c r="U129" s="8"/>
      <c r="V129" s="8"/>
      <c r="W129" s="2"/>
    </row>
    <row r="130" spans="1:23" ht="75.95" customHeight="1">
      <c r="A130" s="11" t="s">
        <v>55</v>
      </c>
      <c r="B130" s="11" t="s">
        <v>13</v>
      </c>
      <c r="C130" s="11" t="s">
        <v>763</v>
      </c>
      <c r="D130" s="11" t="s">
        <v>764</v>
      </c>
      <c r="E130" s="11" t="s">
        <v>756</v>
      </c>
      <c r="F130" s="11" t="s">
        <v>59</v>
      </c>
      <c r="G130" s="11" t="s">
        <v>60</v>
      </c>
      <c r="H130" s="11" t="s">
        <v>234</v>
      </c>
      <c r="I130" s="11" t="s">
        <v>765</v>
      </c>
      <c r="J130" s="11" t="s">
        <v>766</v>
      </c>
      <c r="K130" s="11" t="s">
        <v>767</v>
      </c>
      <c r="L130" s="12" t="s">
        <v>23</v>
      </c>
      <c r="M130" s="12" t="s">
        <v>66</v>
      </c>
      <c r="N130" s="11" t="s">
        <v>67</v>
      </c>
      <c r="O130" s="11" t="s">
        <v>68</v>
      </c>
      <c r="P130" s="11">
        <v>1</v>
      </c>
      <c r="Q130" s="11" t="s">
        <v>175</v>
      </c>
      <c r="R130" s="11" t="s">
        <v>67</v>
      </c>
      <c r="S130" s="11" t="s">
        <v>212</v>
      </c>
      <c r="T130" s="13" t="s">
        <v>67</v>
      </c>
      <c r="U130" s="8"/>
      <c r="V130" s="8"/>
      <c r="W130" s="2"/>
    </row>
    <row r="131" spans="1:23" ht="48" customHeight="1">
      <c r="A131" s="11" t="s">
        <v>55</v>
      </c>
      <c r="B131" s="11" t="s">
        <v>13</v>
      </c>
      <c r="C131" s="11" t="s">
        <v>768</v>
      </c>
      <c r="D131" s="11" t="s">
        <v>769</v>
      </c>
      <c r="E131" s="11" t="s">
        <v>770</v>
      </c>
      <c r="F131" s="11" t="s">
        <v>59</v>
      </c>
      <c r="G131" s="11" t="s">
        <v>60</v>
      </c>
      <c r="H131" s="11" t="s">
        <v>194</v>
      </c>
      <c r="I131" s="11" t="s">
        <v>224</v>
      </c>
      <c r="J131" s="11" t="s">
        <v>771</v>
      </c>
      <c r="K131" s="11" t="s">
        <v>772</v>
      </c>
      <c r="L131" s="12" t="s">
        <v>65</v>
      </c>
      <c r="M131" s="12" t="s">
        <v>66</v>
      </c>
      <c r="N131" s="11" t="s">
        <v>67</v>
      </c>
      <c r="O131" s="11" t="s">
        <v>68</v>
      </c>
      <c r="P131" s="11" t="s">
        <v>773</v>
      </c>
      <c r="Q131" s="11">
        <v>1</v>
      </c>
      <c r="R131" s="11" t="s">
        <v>67</v>
      </c>
      <c r="S131" s="11" t="s">
        <v>212</v>
      </c>
      <c r="T131" s="13" t="s">
        <v>67</v>
      </c>
      <c r="U131" s="8"/>
      <c r="V131" s="8"/>
      <c r="W131" s="2" t="s">
        <v>774</v>
      </c>
    </row>
    <row r="132" spans="1:23" ht="48" customHeight="1">
      <c r="A132" s="11" t="s">
        <v>55</v>
      </c>
      <c r="B132" s="11" t="s">
        <v>13</v>
      </c>
      <c r="C132" s="11" t="s">
        <v>775</v>
      </c>
      <c r="D132" s="11" t="s">
        <v>776</v>
      </c>
      <c r="E132" s="11" t="s">
        <v>770</v>
      </c>
      <c r="F132" s="11" t="s">
        <v>59</v>
      </c>
      <c r="G132" s="11" t="s">
        <v>60</v>
      </c>
      <c r="H132" s="11" t="s">
        <v>200</v>
      </c>
      <c r="I132" s="11" t="s">
        <v>777</v>
      </c>
      <c r="J132" s="11" t="s">
        <v>778</v>
      </c>
      <c r="K132" s="11" t="s">
        <v>779</v>
      </c>
      <c r="L132" s="12" t="s">
        <v>23</v>
      </c>
      <c r="M132" s="12" t="s">
        <v>66</v>
      </c>
      <c r="N132" s="11" t="s">
        <v>67</v>
      </c>
      <c r="O132" s="11" t="s">
        <v>68</v>
      </c>
      <c r="P132" s="11" t="s">
        <v>773</v>
      </c>
      <c r="Q132" s="11">
        <v>1</v>
      </c>
      <c r="R132" s="11" t="s">
        <v>67</v>
      </c>
      <c r="S132" s="11" t="s">
        <v>212</v>
      </c>
      <c r="T132" s="13" t="s">
        <v>67</v>
      </c>
      <c r="U132" s="8"/>
      <c r="V132" s="8"/>
      <c r="W132" s="2" t="s">
        <v>780</v>
      </c>
    </row>
    <row r="133" spans="1:23" ht="62.1" customHeight="1">
      <c r="A133" s="11" t="s">
        <v>55</v>
      </c>
      <c r="B133" s="11" t="s">
        <v>13</v>
      </c>
      <c r="C133" s="11" t="s">
        <v>781</v>
      </c>
      <c r="D133" s="11" t="s">
        <v>782</v>
      </c>
      <c r="E133" s="11" t="s">
        <v>770</v>
      </c>
      <c r="F133" s="11" t="s">
        <v>59</v>
      </c>
      <c r="G133" s="11" t="s">
        <v>60</v>
      </c>
      <c r="H133" s="11" t="s">
        <v>234</v>
      </c>
      <c r="I133" s="11" t="s">
        <v>235</v>
      </c>
      <c r="J133" s="11" t="s">
        <v>783</v>
      </c>
      <c r="K133" s="11" t="s">
        <v>784</v>
      </c>
      <c r="L133" s="12" t="s">
        <v>672</v>
      </c>
      <c r="M133" s="12" t="s">
        <v>673</v>
      </c>
      <c r="N133" s="11" t="s">
        <v>674</v>
      </c>
      <c r="O133" s="11" t="s">
        <v>68</v>
      </c>
      <c r="P133" s="11" t="s">
        <v>773</v>
      </c>
      <c r="Q133" s="11">
        <v>1</v>
      </c>
      <c r="R133" s="11" t="s">
        <v>67</v>
      </c>
      <c r="S133" s="11" t="s">
        <v>212</v>
      </c>
      <c r="T133" s="13" t="s">
        <v>67</v>
      </c>
      <c r="U133" s="8"/>
      <c r="V133" s="8"/>
      <c r="W133" s="2"/>
    </row>
    <row r="134" spans="1:23" ht="62.1" customHeight="1">
      <c r="A134" s="11" t="s">
        <v>55</v>
      </c>
      <c r="B134" s="11" t="s">
        <v>13</v>
      </c>
      <c r="C134" s="11" t="s">
        <v>785</v>
      </c>
      <c r="D134" s="11" t="s">
        <v>786</v>
      </c>
      <c r="E134" s="11" t="s">
        <v>186</v>
      </c>
      <c r="F134" s="11" t="s">
        <v>59</v>
      </c>
      <c r="G134" s="11" t="s">
        <v>60</v>
      </c>
      <c r="H134" s="11" t="s">
        <v>194</v>
      </c>
      <c r="I134" s="11" t="s">
        <v>787</v>
      </c>
      <c r="J134" s="11" t="s">
        <v>788</v>
      </c>
      <c r="K134" s="11" t="s">
        <v>789</v>
      </c>
      <c r="L134" s="12" t="s">
        <v>65</v>
      </c>
      <c r="M134" s="12" t="s">
        <v>66</v>
      </c>
      <c r="N134" s="11" t="s">
        <v>67</v>
      </c>
      <c r="O134" s="11" t="s">
        <v>68</v>
      </c>
      <c r="P134" s="11" t="s">
        <v>191</v>
      </c>
      <c r="Q134" s="11" t="s">
        <v>790</v>
      </c>
      <c r="R134" s="11" t="s">
        <v>67</v>
      </c>
      <c r="S134" s="11" t="s">
        <v>212</v>
      </c>
      <c r="T134" s="13" t="s">
        <v>67</v>
      </c>
      <c r="U134" s="8"/>
      <c r="V134" s="8"/>
      <c r="W134" s="2"/>
    </row>
    <row r="135" spans="1:23" ht="62.1" customHeight="1">
      <c r="A135" s="11" t="s">
        <v>55</v>
      </c>
      <c r="B135" s="11" t="s">
        <v>13</v>
      </c>
      <c r="C135" s="11" t="s">
        <v>791</v>
      </c>
      <c r="D135" s="11" t="s">
        <v>792</v>
      </c>
      <c r="E135" s="11" t="s">
        <v>186</v>
      </c>
      <c r="F135" s="11" t="s">
        <v>59</v>
      </c>
      <c r="G135" s="11" t="s">
        <v>60</v>
      </c>
      <c r="H135" s="11" t="s">
        <v>200</v>
      </c>
      <c r="I135" s="11" t="s">
        <v>793</v>
      </c>
      <c r="J135" s="11" t="s">
        <v>794</v>
      </c>
      <c r="K135" s="11" t="s">
        <v>795</v>
      </c>
      <c r="L135" s="12" t="s">
        <v>23</v>
      </c>
      <c r="M135" s="12" t="s">
        <v>66</v>
      </c>
      <c r="N135" s="11" t="s">
        <v>67</v>
      </c>
      <c r="O135" s="11" t="s">
        <v>68</v>
      </c>
      <c r="P135" s="11" t="s">
        <v>191</v>
      </c>
      <c r="Q135" s="11" t="s">
        <v>790</v>
      </c>
      <c r="R135" s="11" t="s">
        <v>67</v>
      </c>
      <c r="S135" s="11" t="s">
        <v>212</v>
      </c>
      <c r="T135" s="13" t="s">
        <v>67</v>
      </c>
      <c r="U135" s="8"/>
      <c r="V135" s="8"/>
      <c r="W135" s="2"/>
    </row>
    <row r="136" spans="1:23" ht="48" customHeight="1">
      <c r="A136" s="11" t="s">
        <v>55</v>
      </c>
      <c r="B136" s="11" t="s">
        <v>13</v>
      </c>
      <c r="C136" s="11" t="s">
        <v>796</v>
      </c>
      <c r="D136" s="11" t="s">
        <v>797</v>
      </c>
      <c r="E136" s="11" t="s">
        <v>798</v>
      </c>
      <c r="F136" s="11" t="s">
        <v>59</v>
      </c>
      <c r="G136" s="11" t="s">
        <v>60</v>
      </c>
      <c r="H136" s="11" t="s">
        <v>61</v>
      </c>
      <c r="I136" s="11" t="s">
        <v>799</v>
      </c>
      <c r="J136" s="11" t="s">
        <v>800</v>
      </c>
      <c r="K136" s="11" t="s">
        <v>801</v>
      </c>
      <c r="L136" s="12" t="s">
        <v>65</v>
      </c>
      <c r="M136" s="12" t="s">
        <v>66</v>
      </c>
      <c r="N136" s="11" t="s">
        <v>67</v>
      </c>
      <c r="O136" s="11" t="s">
        <v>68</v>
      </c>
      <c r="P136" s="11" t="s">
        <v>244</v>
      </c>
      <c r="Q136" s="11">
        <v>1</v>
      </c>
      <c r="R136" s="11" t="s">
        <v>67</v>
      </c>
      <c r="S136" s="11" t="s">
        <v>212</v>
      </c>
      <c r="T136" s="13" t="s">
        <v>67</v>
      </c>
      <c r="U136" s="8"/>
      <c r="V136" s="8"/>
      <c r="W136" s="2"/>
    </row>
    <row r="137" spans="1:23" ht="48" customHeight="1">
      <c r="A137" s="11" t="s">
        <v>55</v>
      </c>
      <c r="B137" s="11" t="s">
        <v>13</v>
      </c>
      <c r="C137" s="11" t="s">
        <v>802</v>
      </c>
      <c r="D137" s="11" t="s">
        <v>803</v>
      </c>
      <c r="E137" s="11" t="s">
        <v>798</v>
      </c>
      <c r="F137" s="11" t="s">
        <v>59</v>
      </c>
      <c r="G137" s="11" t="s">
        <v>60</v>
      </c>
      <c r="H137" s="11" t="s">
        <v>194</v>
      </c>
      <c r="I137" s="11" t="s">
        <v>224</v>
      </c>
      <c r="J137" s="11" t="s">
        <v>804</v>
      </c>
      <c r="K137" s="11" t="s">
        <v>805</v>
      </c>
      <c r="L137" s="12" t="s">
        <v>65</v>
      </c>
      <c r="M137" s="12" t="s">
        <v>66</v>
      </c>
      <c r="N137" s="11" t="s">
        <v>67</v>
      </c>
      <c r="O137" s="11" t="s">
        <v>68</v>
      </c>
      <c r="P137" s="11" t="s">
        <v>244</v>
      </c>
      <c r="Q137" s="11">
        <v>1</v>
      </c>
      <c r="R137" s="11" t="s">
        <v>67</v>
      </c>
      <c r="S137" s="11" t="s">
        <v>212</v>
      </c>
      <c r="T137" s="13" t="s">
        <v>67</v>
      </c>
      <c r="U137" s="8"/>
      <c r="V137" s="8"/>
      <c r="W137" s="2"/>
    </row>
    <row r="138" spans="1:23" ht="33.950000000000003" customHeight="1">
      <c r="A138" s="11" t="s">
        <v>55</v>
      </c>
      <c r="B138" s="11" t="s">
        <v>13</v>
      </c>
      <c r="C138" s="11" t="s">
        <v>806</v>
      </c>
      <c r="D138" s="11" t="s">
        <v>807</v>
      </c>
      <c r="E138" s="11" t="s">
        <v>798</v>
      </c>
      <c r="F138" s="11" t="s">
        <v>59</v>
      </c>
      <c r="G138" s="11" t="s">
        <v>60</v>
      </c>
      <c r="H138" s="11" t="s">
        <v>207</v>
      </c>
      <c r="I138" s="11" t="s">
        <v>808</v>
      </c>
      <c r="J138" s="11" t="s">
        <v>809</v>
      </c>
      <c r="K138" s="11" t="s">
        <v>810</v>
      </c>
      <c r="L138" s="12" t="s">
        <v>23</v>
      </c>
      <c r="M138" s="12" t="s">
        <v>66</v>
      </c>
      <c r="N138" s="11" t="s">
        <v>67</v>
      </c>
      <c r="O138" s="11" t="s">
        <v>68</v>
      </c>
      <c r="P138" s="11" t="s">
        <v>244</v>
      </c>
      <c r="Q138" s="11">
        <v>1</v>
      </c>
      <c r="R138" s="11" t="s">
        <v>67</v>
      </c>
      <c r="S138" s="11" t="s">
        <v>212</v>
      </c>
      <c r="T138" s="13" t="s">
        <v>67</v>
      </c>
      <c r="U138" s="8"/>
      <c r="V138" s="8"/>
      <c r="W138" s="2"/>
    </row>
    <row r="139" spans="1:23" ht="48" customHeight="1">
      <c r="A139" s="11" t="s">
        <v>55</v>
      </c>
      <c r="B139" s="11" t="s">
        <v>13</v>
      </c>
      <c r="C139" s="11" t="s">
        <v>811</v>
      </c>
      <c r="D139" s="11" t="s">
        <v>812</v>
      </c>
      <c r="E139" s="11" t="s">
        <v>813</v>
      </c>
      <c r="F139" s="11" t="s">
        <v>59</v>
      </c>
      <c r="G139" s="11" t="s">
        <v>60</v>
      </c>
      <c r="H139" s="11" t="s">
        <v>194</v>
      </c>
      <c r="I139" s="11" t="s">
        <v>224</v>
      </c>
      <c r="J139" s="11" t="s">
        <v>814</v>
      </c>
      <c r="K139" s="11" t="s">
        <v>815</v>
      </c>
      <c r="L139" s="12" t="s">
        <v>65</v>
      </c>
      <c r="M139" s="12" t="s">
        <v>66</v>
      </c>
      <c r="N139" s="11" t="s">
        <v>67</v>
      </c>
      <c r="O139" s="11" t="s">
        <v>68</v>
      </c>
      <c r="P139" s="11" t="s">
        <v>816</v>
      </c>
      <c r="Q139" s="11">
        <v>1</v>
      </c>
      <c r="R139" s="11" t="s">
        <v>67</v>
      </c>
      <c r="S139" s="11" t="s">
        <v>212</v>
      </c>
      <c r="T139" s="13" t="s">
        <v>67</v>
      </c>
      <c r="U139" s="8"/>
      <c r="V139" s="8"/>
      <c r="W139" s="2"/>
    </row>
    <row r="140" spans="1:23" ht="33.950000000000003" customHeight="1">
      <c r="A140" s="11" t="s">
        <v>55</v>
      </c>
      <c r="B140" s="11" t="s">
        <v>13</v>
      </c>
      <c r="C140" s="11" t="s">
        <v>817</v>
      </c>
      <c r="D140" s="11" t="s">
        <v>818</v>
      </c>
      <c r="E140" s="11" t="s">
        <v>813</v>
      </c>
      <c r="F140" s="11" t="s">
        <v>59</v>
      </c>
      <c r="G140" s="11" t="s">
        <v>60</v>
      </c>
      <c r="H140" s="11" t="s">
        <v>200</v>
      </c>
      <c r="I140" s="11" t="s">
        <v>819</v>
      </c>
      <c r="J140" s="11" t="s">
        <v>820</v>
      </c>
      <c r="K140" s="11" t="s">
        <v>821</v>
      </c>
      <c r="L140" s="12" t="s">
        <v>23</v>
      </c>
      <c r="M140" s="12" t="s">
        <v>66</v>
      </c>
      <c r="N140" s="11" t="s">
        <v>67</v>
      </c>
      <c r="O140" s="11" t="s">
        <v>68</v>
      </c>
      <c r="P140" s="11" t="s">
        <v>816</v>
      </c>
      <c r="Q140" s="11">
        <v>1</v>
      </c>
      <c r="R140" s="11" t="s">
        <v>67</v>
      </c>
      <c r="S140" s="11" t="s">
        <v>212</v>
      </c>
      <c r="T140" s="13" t="s">
        <v>67</v>
      </c>
      <c r="U140" s="8"/>
      <c r="V140" s="8"/>
      <c r="W140" s="2"/>
    </row>
    <row r="141" spans="1:23" ht="48" customHeight="1">
      <c r="A141" s="11" t="s">
        <v>55</v>
      </c>
      <c r="B141" s="11" t="s">
        <v>13</v>
      </c>
      <c r="C141" s="11" t="s">
        <v>822</v>
      </c>
      <c r="D141" s="11" t="s">
        <v>823</v>
      </c>
      <c r="E141" s="11" t="s">
        <v>813</v>
      </c>
      <c r="F141" s="11" t="s">
        <v>59</v>
      </c>
      <c r="G141" s="11" t="s">
        <v>60</v>
      </c>
      <c r="H141" s="11" t="s">
        <v>207</v>
      </c>
      <c r="I141" s="11" t="s">
        <v>824</v>
      </c>
      <c r="J141" s="11" t="s">
        <v>825</v>
      </c>
      <c r="K141" s="11" t="s">
        <v>826</v>
      </c>
      <c r="L141" s="12" t="s">
        <v>23</v>
      </c>
      <c r="M141" s="12" t="s">
        <v>66</v>
      </c>
      <c r="N141" s="11" t="s">
        <v>67</v>
      </c>
      <c r="O141" s="11" t="s">
        <v>68</v>
      </c>
      <c r="P141" s="11" t="s">
        <v>816</v>
      </c>
      <c r="Q141" s="11">
        <v>1</v>
      </c>
      <c r="R141" s="11" t="s">
        <v>67</v>
      </c>
      <c r="S141" s="11" t="s">
        <v>212</v>
      </c>
      <c r="T141" s="13" t="s">
        <v>67</v>
      </c>
      <c r="U141" s="8"/>
      <c r="V141" s="8"/>
      <c r="W141" s="2"/>
    </row>
    <row r="142" spans="1:23" ht="48" customHeight="1">
      <c r="A142" s="11" t="s">
        <v>55</v>
      </c>
      <c r="B142" s="11" t="s">
        <v>13</v>
      </c>
      <c r="C142" s="11" t="s">
        <v>827</v>
      </c>
      <c r="D142" s="11" t="s">
        <v>828</v>
      </c>
      <c r="E142" s="11" t="s">
        <v>829</v>
      </c>
      <c r="F142" s="11" t="s">
        <v>59</v>
      </c>
      <c r="G142" s="11" t="s">
        <v>60</v>
      </c>
      <c r="H142" s="11" t="s">
        <v>61</v>
      </c>
      <c r="I142" s="11" t="s">
        <v>830</v>
      </c>
      <c r="J142" s="11" t="s">
        <v>831</v>
      </c>
      <c r="K142" s="11" t="s">
        <v>832</v>
      </c>
      <c r="L142" s="12" t="s">
        <v>106</v>
      </c>
      <c r="M142" s="12" t="s">
        <v>67</v>
      </c>
      <c r="N142" s="11" t="s">
        <v>833</v>
      </c>
      <c r="O142" s="11" t="s">
        <v>92</v>
      </c>
      <c r="P142" s="11">
        <v>10</v>
      </c>
      <c r="Q142" s="18">
        <v>36526</v>
      </c>
      <c r="R142" s="11" t="s">
        <v>67</v>
      </c>
      <c r="S142" s="11" t="s">
        <v>212</v>
      </c>
      <c r="T142" s="13" t="s">
        <v>67</v>
      </c>
      <c r="U142" s="8"/>
      <c r="V142" s="8"/>
      <c r="W142" s="2"/>
    </row>
    <row r="143" spans="1:23" ht="33.950000000000003" customHeight="1">
      <c r="A143" s="11" t="s">
        <v>55</v>
      </c>
      <c r="B143" s="11" t="s">
        <v>13</v>
      </c>
      <c r="C143" s="11" t="s">
        <v>834</v>
      </c>
      <c r="D143" s="11" t="s">
        <v>835</v>
      </c>
      <c r="E143" s="11" t="s">
        <v>829</v>
      </c>
      <c r="F143" s="11" t="s">
        <v>59</v>
      </c>
      <c r="G143" s="11" t="s">
        <v>60</v>
      </c>
      <c r="H143" s="11" t="s">
        <v>194</v>
      </c>
      <c r="I143" s="11" t="s">
        <v>410</v>
      </c>
      <c r="J143" s="11" t="s">
        <v>836</v>
      </c>
      <c r="K143" s="11" t="s">
        <v>837</v>
      </c>
      <c r="L143" s="12" t="s">
        <v>65</v>
      </c>
      <c r="M143" s="12" t="s">
        <v>66</v>
      </c>
      <c r="N143" s="11" t="s">
        <v>67</v>
      </c>
      <c r="O143" s="11" t="s">
        <v>92</v>
      </c>
      <c r="P143" s="11">
        <v>10</v>
      </c>
      <c r="Q143" s="18">
        <v>36526</v>
      </c>
      <c r="R143" s="11" t="s">
        <v>67</v>
      </c>
      <c r="S143" s="11" t="s">
        <v>212</v>
      </c>
      <c r="T143" s="13" t="s">
        <v>67</v>
      </c>
      <c r="U143" s="8"/>
      <c r="V143" s="8"/>
      <c r="W143" s="2"/>
    </row>
    <row r="144" spans="1:23" ht="48" customHeight="1">
      <c r="A144" s="11" t="s">
        <v>55</v>
      </c>
      <c r="B144" s="11" t="s">
        <v>13</v>
      </c>
      <c r="C144" s="11" t="s">
        <v>838</v>
      </c>
      <c r="D144" s="11" t="s">
        <v>839</v>
      </c>
      <c r="E144" s="11" t="s">
        <v>829</v>
      </c>
      <c r="F144" s="11" t="s">
        <v>59</v>
      </c>
      <c r="G144" s="11" t="s">
        <v>60</v>
      </c>
      <c r="H144" s="11" t="s">
        <v>200</v>
      </c>
      <c r="I144" s="11" t="s">
        <v>341</v>
      </c>
      <c r="J144" s="11" t="s">
        <v>840</v>
      </c>
      <c r="K144" s="11" t="s">
        <v>841</v>
      </c>
      <c r="L144" s="12" t="s">
        <v>106</v>
      </c>
      <c r="M144" s="12" t="s">
        <v>67</v>
      </c>
      <c r="N144" s="11" t="s">
        <v>842</v>
      </c>
      <c r="O144" s="11" t="s">
        <v>92</v>
      </c>
      <c r="P144" s="11">
        <v>10</v>
      </c>
      <c r="Q144" s="18">
        <v>36526</v>
      </c>
      <c r="R144" s="11" t="s">
        <v>67</v>
      </c>
      <c r="S144" s="11" t="s">
        <v>212</v>
      </c>
      <c r="T144" s="13" t="s">
        <v>67</v>
      </c>
      <c r="U144" s="8"/>
      <c r="V144" s="8"/>
      <c r="W144" s="2"/>
    </row>
    <row r="145" spans="1:23" ht="48" customHeight="1">
      <c r="A145" s="11" t="s">
        <v>55</v>
      </c>
      <c r="B145" s="11" t="s">
        <v>13</v>
      </c>
      <c r="C145" s="11" t="s">
        <v>843</v>
      </c>
      <c r="D145" s="11" t="s">
        <v>844</v>
      </c>
      <c r="E145" s="11" t="s">
        <v>829</v>
      </c>
      <c r="F145" s="11" t="s">
        <v>59</v>
      </c>
      <c r="G145" s="11" t="s">
        <v>60</v>
      </c>
      <c r="H145" s="11" t="s">
        <v>346</v>
      </c>
      <c r="I145" s="11" t="s">
        <v>845</v>
      </c>
      <c r="J145" s="11" t="s">
        <v>846</v>
      </c>
      <c r="K145" s="11" t="s">
        <v>847</v>
      </c>
      <c r="L145" s="12" t="s">
        <v>23</v>
      </c>
      <c r="M145" s="12" t="s">
        <v>66</v>
      </c>
      <c r="N145" s="11" t="s">
        <v>67</v>
      </c>
      <c r="O145" s="11" t="s">
        <v>92</v>
      </c>
      <c r="P145" s="11">
        <v>10</v>
      </c>
      <c r="Q145" s="18">
        <v>36526</v>
      </c>
      <c r="R145" s="11" t="s">
        <v>67</v>
      </c>
      <c r="S145" s="11" t="s">
        <v>212</v>
      </c>
      <c r="T145" s="13" t="s">
        <v>67</v>
      </c>
      <c r="U145" s="8"/>
      <c r="V145" s="8"/>
      <c r="W145" s="2"/>
    </row>
    <row r="146" spans="1:23" ht="33.950000000000003" customHeight="1">
      <c r="A146" s="11" t="s">
        <v>55</v>
      </c>
      <c r="B146" s="11" t="s">
        <v>13</v>
      </c>
      <c r="C146" s="11" t="s">
        <v>848</v>
      </c>
      <c r="D146" s="11" t="s">
        <v>849</v>
      </c>
      <c r="E146" s="11" t="s">
        <v>850</v>
      </c>
      <c r="F146" s="11" t="s">
        <v>59</v>
      </c>
      <c r="G146" s="11" t="s">
        <v>60</v>
      </c>
      <c r="H146" s="11" t="s">
        <v>194</v>
      </c>
      <c r="I146" s="11" t="s">
        <v>410</v>
      </c>
      <c r="J146" s="11" t="s">
        <v>851</v>
      </c>
      <c r="K146" s="11" t="s">
        <v>852</v>
      </c>
      <c r="L146" s="12" t="s">
        <v>65</v>
      </c>
      <c r="M146" s="12" t="s">
        <v>66</v>
      </c>
      <c r="N146" s="11" t="s">
        <v>67</v>
      </c>
      <c r="O146" s="11" t="s">
        <v>92</v>
      </c>
      <c r="P146" s="11">
        <v>10</v>
      </c>
      <c r="Q146" s="18">
        <v>36526</v>
      </c>
      <c r="R146" s="11" t="s">
        <v>67</v>
      </c>
      <c r="S146" s="11" t="s">
        <v>212</v>
      </c>
      <c r="T146" s="13" t="s">
        <v>67</v>
      </c>
      <c r="U146" s="8"/>
      <c r="V146" s="8"/>
      <c r="W146" s="2"/>
    </row>
    <row r="147" spans="1:23" ht="48" customHeight="1">
      <c r="A147" s="11" t="s">
        <v>55</v>
      </c>
      <c r="B147" s="11" t="s">
        <v>13</v>
      </c>
      <c r="C147" s="11" t="s">
        <v>853</v>
      </c>
      <c r="D147" s="11" t="s">
        <v>854</v>
      </c>
      <c r="E147" s="11" t="s">
        <v>850</v>
      </c>
      <c r="F147" s="11" t="s">
        <v>59</v>
      </c>
      <c r="G147" s="11" t="s">
        <v>60</v>
      </c>
      <c r="H147" s="11" t="s">
        <v>200</v>
      </c>
      <c r="I147" s="11" t="s">
        <v>341</v>
      </c>
      <c r="J147" s="11" t="s">
        <v>855</v>
      </c>
      <c r="K147" s="11" t="s">
        <v>856</v>
      </c>
      <c r="L147" s="12" t="s">
        <v>106</v>
      </c>
      <c r="M147" s="12" t="s">
        <v>67</v>
      </c>
      <c r="N147" s="11" t="s">
        <v>67</v>
      </c>
      <c r="O147" s="11" t="s">
        <v>92</v>
      </c>
      <c r="P147" s="11">
        <v>10</v>
      </c>
      <c r="Q147" s="18">
        <v>36526</v>
      </c>
      <c r="R147" s="11" t="s">
        <v>67</v>
      </c>
      <c r="S147" s="11" t="s">
        <v>212</v>
      </c>
      <c r="T147" s="13" t="s">
        <v>67</v>
      </c>
      <c r="U147" s="8"/>
      <c r="V147" s="8"/>
      <c r="W147" s="2"/>
    </row>
    <row r="148" spans="1:23" ht="48" customHeight="1">
      <c r="A148" s="11" t="s">
        <v>55</v>
      </c>
      <c r="B148" s="11" t="s">
        <v>13</v>
      </c>
      <c r="C148" s="11" t="s">
        <v>857</v>
      </c>
      <c r="D148" s="11" t="s">
        <v>858</v>
      </c>
      <c r="E148" s="11" t="s">
        <v>850</v>
      </c>
      <c r="F148" s="11" t="s">
        <v>59</v>
      </c>
      <c r="G148" s="11" t="s">
        <v>60</v>
      </c>
      <c r="H148" s="11" t="s">
        <v>346</v>
      </c>
      <c r="I148" s="11" t="s">
        <v>859</v>
      </c>
      <c r="J148" s="11" t="s">
        <v>860</v>
      </c>
      <c r="K148" s="11" t="s">
        <v>861</v>
      </c>
      <c r="L148" s="12" t="s">
        <v>23</v>
      </c>
      <c r="M148" s="12" t="s">
        <v>66</v>
      </c>
      <c r="N148" s="11" t="s">
        <v>67</v>
      </c>
      <c r="O148" s="11" t="s">
        <v>92</v>
      </c>
      <c r="P148" s="11">
        <v>10</v>
      </c>
      <c r="Q148" s="18">
        <v>36526</v>
      </c>
      <c r="R148" s="11" t="s">
        <v>67</v>
      </c>
      <c r="S148" s="11" t="s">
        <v>212</v>
      </c>
      <c r="T148" s="13" t="s">
        <v>67</v>
      </c>
      <c r="U148" s="8"/>
      <c r="V148" s="8"/>
      <c r="W148" s="2"/>
    </row>
    <row r="149" spans="1:23" ht="33.950000000000003" customHeight="1">
      <c r="A149" s="11" t="s">
        <v>55</v>
      </c>
      <c r="B149" s="11" t="s">
        <v>13</v>
      </c>
      <c r="C149" s="11" t="s">
        <v>862</v>
      </c>
      <c r="D149" s="11" t="s">
        <v>863</v>
      </c>
      <c r="E149" s="11" t="s">
        <v>864</v>
      </c>
      <c r="F149" s="11" t="s">
        <v>59</v>
      </c>
      <c r="G149" s="11" t="s">
        <v>60</v>
      </c>
      <c r="H149" s="11" t="s">
        <v>194</v>
      </c>
      <c r="I149" s="11" t="s">
        <v>410</v>
      </c>
      <c r="J149" s="11" t="s">
        <v>865</v>
      </c>
      <c r="K149" s="11" t="s">
        <v>866</v>
      </c>
      <c r="L149" s="12" t="s">
        <v>65</v>
      </c>
      <c r="M149" s="12" t="s">
        <v>66</v>
      </c>
      <c r="N149" s="11" t="s">
        <v>67</v>
      </c>
      <c r="O149" s="11" t="s">
        <v>92</v>
      </c>
      <c r="P149" s="11">
        <v>10</v>
      </c>
      <c r="Q149" s="18">
        <v>36526</v>
      </c>
      <c r="R149" s="11" t="s">
        <v>67</v>
      </c>
      <c r="S149" s="11" t="s">
        <v>212</v>
      </c>
      <c r="T149" s="13" t="s">
        <v>67</v>
      </c>
      <c r="U149" s="8"/>
      <c r="V149" s="8"/>
      <c r="W149" s="2"/>
    </row>
    <row r="150" spans="1:23" ht="75.95" customHeight="1">
      <c r="A150" s="11" t="s">
        <v>55</v>
      </c>
      <c r="B150" s="11" t="s">
        <v>13</v>
      </c>
      <c r="C150" s="11" t="s">
        <v>867</v>
      </c>
      <c r="D150" s="11" t="s">
        <v>868</v>
      </c>
      <c r="E150" s="11" t="s">
        <v>864</v>
      </c>
      <c r="F150" s="11" t="s">
        <v>59</v>
      </c>
      <c r="G150" s="11" t="s">
        <v>60</v>
      </c>
      <c r="H150" s="11" t="s">
        <v>200</v>
      </c>
      <c r="I150" s="11" t="s">
        <v>341</v>
      </c>
      <c r="J150" s="11" t="s">
        <v>869</v>
      </c>
      <c r="K150" s="11" t="s">
        <v>870</v>
      </c>
      <c r="L150" s="12" t="s">
        <v>106</v>
      </c>
      <c r="M150" s="12" t="s">
        <v>67</v>
      </c>
      <c r="N150" s="11" t="s">
        <v>871</v>
      </c>
      <c r="O150" s="11" t="s">
        <v>92</v>
      </c>
      <c r="P150" s="11">
        <v>10</v>
      </c>
      <c r="Q150" s="18">
        <v>36526</v>
      </c>
      <c r="R150" s="11" t="s">
        <v>67</v>
      </c>
      <c r="S150" s="11" t="s">
        <v>212</v>
      </c>
      <c r="T150" s="13" t="s">
        <v>67</v>
      </c>
      <c r="U150" s="8"/>
      <c r="V150" s="8"/>
      <c r="W150" s="2" t="s">
        <v>872</v>
      </c>
    </row>
    <row r="151" spans="1:23" ht="33.950000000000003" customHeight="1">
      <c r="A151" s="11" t="s">
        <v>55</v>
      </c>
      <c r="B151" s="11" t="s">
        <v>13</v>
      </c>
      <c r="C151" s="11" t="s">
        <v>873</v>
      </c>
      <c r="D151" s="11" t="s">
        <v>874</v>
      </c>
      <c r="E151" s="11" t="s">
        <v>864</v>
      </c>
      <c r="F151" s="11" t="s">
        <v>59</v>
      </c>
      <c r="G151" s="11" t="s">
        <v>60</v>
      </c>
      <c r="H151" s="11" t="s">
        <v>346</v>
      </c>
      <c r="I151" s="11" t="s">
        <v>875</v>
      </c>
      <c r="J151" s="11" t="s">
        <v>876</v>
      </c>
      <c r="K151" s="11" t="s">
        <v>877</v>
      </c>
      <c r="L151" s="12" t="s">
        <v>23</v>
      </c>
      <c r="M151" s="12" t="s">
        <v>66</v>
      </c>
      <c r="N151" s="11" t="s">
        <v>67</v>
      </c>
      <c r="O151" s="11" t="s">
        <v>92</v>
      </c>
      <c r="P151" s="11">
        <v>10</v>
      </c>
      <c r="Q151" s="18">
        <v>36526</v>
      </c>
      <c r="R151" s="11" t="s">
        <v>67</v>
      </c>
      <c r="S151" s="11" t="s">
        <v>212</v>
      </c>
      <c r="T151" s="13" t="s">
        <v>67</v>
      </c>
      <c r="U151" s="8"/>
      <c r="V151" s="8"/>
      <c r="W151" s="2"/>
    </row>
    <row r="152" spans="1:23" ht="33.950000000000003" customHeight="1">
      <c r="A152" s="11" t="s">
        <v>55</v>
      </c>
      <c r="B152" s="11" t="s">
        <v>13</v>
      </c>
      <c r="C152" s="11" t="s">
        <v>878</v>
      </c>
      <c r="D152" s="11" t="s">
        <v>879</v>
      </c>
      <c r="E152" s="11" t="s">
        <v>880</v>
      </c>
      <c r="F152" s="11" t="s">
        <v>59</v>
      </c>
      <c r="G152" s="11" t="s">
        <v>60</v>
      </c>
      <c r="H152" s="11" t="s">
        <v>194</v>
      </c>
      <c r="I152" s="11" t="s">
        <v>224</v>
      </c>
      <c r="J152" s="11" t="s">
        <v>881</v>
      </c>
      <c r="K152" s="11" t="s">
        <v>882</v>
      </c>
      <c r="L152" s="12" t="s">
        <v>65</v>
      </c>
      <c r="M152" s="12" t="s">
        <v>66</v>
      </c>
      <c r="N152" s="11" t="s">
        <v>67</v>
      </c>
      <c r="O152" s="11" t="s">
        <v>68</v>
      </c>
      <c r="P152" s="11" t="s">
        <v>883</v>
      </c>
      <c r="Q152" s="11" t="s">
        <v>884</v>
      </c>
      <c r="R152" s="11" t="s">
        <v>67</v>
      </c>
      <c r="S152" s="11" t="s">
        <v>212</v>
      </c>
      <c r="T152" s="13" t="s">
        <v>67</v>
      </c>
      <c r="U152" s="8"/>
      <c r="V152" s="8"/>
      <c r="W152" s="2"/>
    </row>
    <row r="153" spans="1:23" ht="33.950000000000003" customHeight="1">
      <c r="A153" s="11" t="s">
        <v>55</v>
      </c>
      <c r="B153" s="11" t="s">
        <v>13</v>
      </c>
      <c r="C153" s="11" t="s">
        <v>885</v>
      </c>
      <c r="D153" s="11" t="s">
        <v>886</v>
      </c>
      <c r="E153" s="11" t="s">
        <v>880</v>
      </c>
      <c r="F153" s="11" t="s">
        <v>59</v>
      </c>
      <c r="G153" s="11" t="s">
        <v>60</v>
      </c>
      <c r="H153" s="11" t="s">
        <v>200</v>
      </c>
      <c r="I153" s="11" t="s">
        <v>887</v>
      </c>
      <c r="J153" s="11" t="s">
        <v>888</v>
      </c>
      <c r="K153" s="11" t="s">
        <v>889</v>
      </c>
      <c r="L153" s="12" t="s">
        <v>23</v>
      </c>
      <c r="M153" s="12" t="s">
        <v>66</v>
      </c>
      <c r="N153" s="11" t="s">
        <v>67</v>
      </c>
      <c r="O153" s="11" t="s">
        <v>68</v>
      </c>
      <c r="P153" s="11" t="s">
        <v>883</v>
      </c>
      <c r="Q153" s="11" t="s">
        <v>884</v>
      </c>
      <c r="R153" s="11" t="s">
        <v>67</v>
      </c>
      <c r="S153" s="11" t="s">
        <v>212</v>
      </c>
      <c r="T153" s="13" t="s">
        <v>67</v>
      </c>
      <c r="U153" s="8"/>
      <c r="V153" s="8"/>
      <c r="W153" s="2"/>
    </row>
    <row r="154" spans="1:23" ht="33.950000000000003" customHeight="1">
      <c r="A154" s="11" t="s">
        <v>55</v>
      </c>
      <c r="B154" s="11" t="s">
        <v>13</v>
      </c>
      <c r="C154" s="11" t="s">
        <v>890</v>
      </c>
      <c r="D154" s="11" t="s">
        <v>891</v>
      </c>
      <c r="E154" s="11" t="s">
        <v>880</v>
      </c>
      <c r="F154" s="11" t="s">
        <v>59</v>
      </c>
      <c r="G154" s="11" t="s">
        <v>60</v>
      </c>
      <c r="H154" s="11" t="s">
        <v>234</v>
      </c>
      <c r="I154" s="11" t="s">
        <v>235</v>
      </c>
      <c r="J154" s="11" t="s">
        <v>67</v>
      </c>
      <c r="K154" s="11" t="s">
        <v>892</v>
      </c>
      <c r="L154" s="12" t="s">
        <v>106</v>
      </c>
      <c r="M154" s="12" t="s">
        <v>67</v>
      </c>
      <c r="N154" s="11" t="s">
        <v>237</v>
      </c>
      <c r="O154" s="11" t="s">
        <v>68</v>
      </c>
      <c r="P154" s="11" t="s">
        <v>883</v>
      </c>
      <c r="Q154" s="11" t="s">
        <v>884</v>
      </c>
      <c r="R154" s="11" t="s">
        <v>67</v>
      </c>
      <c r="S154" s="11" t="s">
        <v>212</v>
      </c>
      <c r="T154" s="13" t="s">
        <v>67</v>
      </c>
      <c r="U154" s="8"/>
      <c r="V154" s="8"/>
      <c r="W154" s="2"/>
    </row>
    <row r="155" spans="1:23" ht="33.950000000000003" customHeight="1">
      <c r="A155" s="11" t="s">
        <v>55</v>
      </c>
      <c r="B155" s="11" t="s">
        <v>13</v>
      </c>
      <c r="C155" s="11" t="s">
        <v>893</v>
      </c>
      <c r="D155" s="11" t="s">
        <v>894</v>
      </c>
      <c r="E155" s="11" t="s">
        <v>895</v>
      </c>
      <c r="F155" s="11" t="s">
        <v>59</v>
      </c>
      <c r="G155" s="11" t="s">
        <v>60</v>
      </c>
      <c r="H155" s="11" t="s">
        <v>194</v>
      </c>
      <c r="I155" s="11" t="s">
        <v>383</v>
      </c>
      <c r="J155" s="11" t="s">
        <v>896</v>
      </c>
      <c r="K155" s="11" t="s">
        <v>897</v>
      </c>
      <c r="L155" s="12" t="s">
        <v>65</v>
      </c>
      <c r="M155" s="12" t="s">
        <v>66</v>
      </c>
      <c r="N155" s="11" t="s">
        <v>67</v>
      </c>
      <c r="O155" s="11" t="s">
        <v>68</v>
      </c>
      <c r="P155" s="11">
        <v>2</v>
      </c>
      <c r="Q155" s="11" t="s">
        <v>898</v>
      </c>
      <c r="R155" s="11" t="s">
        <v>67</v>
      </c>
      <c r="S155" s="11" t="s">
        <v>212</v>
      </c>
      <c r="T155" s="13" t="s">
        <v>67</v>
      </c>
      <c r="U155" s="8"/>
      <c r="V155" s="8"/>
      <c r="W155" s="2"/>
    </row>
    <row r="156" spans="1:23" ht="48" customHeight="1">
      <c r="A156" s="11" t="s">
        <v>55</v>
      </c>
      <c r="B156" s="11" t="s">
        <v>13</v>
      </c>
      <c r="C156" s="11" t="s">
        <v>899</v>
      </c>
      <c r="D156" s="11" t="s">
        <v>900</v>
      </c>
      <c r="E156" s="11" t="s">
        <v>895</v>
      </c>
      <c r="F156" s="11" t="s">
        <v>59</v>
      </c>
      <c r="G156" s="11" t="s">
        <v>60</v>
      </c>
      <c r="H156" s="11" t="s">
        <v>200</v>
      </c>
      <c r="I156" s="11" t="s">
        <v>439</v>
      </c>
      <c r="J156" s="11" t="s">
        <v>901</v>
      </c>
      <c r="K156" s="11" t="s">
        <v>902</v>
      </c>
      <c r="L156" s="12" t="s">
        <v>106</v>
      </c>
      <c r="M156" s="12" t="s">
        <v>67</v>
      </c>
      <c r="N156" s="11" t="s">
        <v>67</v>
      </c>
      <c r="O156" s="11" t="s">
        <v>68</v>
      </c>
      <c r="P156" s="11">
        <v>2</v>
      </c>
      <c r="Q156" s="11" t="s">
        <v>898</v>
      </c>
      <c r="R156" s="11" t="s">
        <v>67</v>
      </c>
      <c r="S156" s="11" t="s">
        <v>212</v>
      </c>
      <c r="T156" s="13" t="s">
        <v>67</v>
      </c>
      <c r="U156" s="8"/>
      <c r="V156" s="8"/>
      <c r="W156" s="2"/>
    </row>
    <row r="157" spans="1:23" ht="33.950000000000003" customHeight="1">
      <c r="A157" s="11" t="s">
        <v>55</v>
      </c>
      <c r="B157" s="11" t="s">
        <v>13</v>
      </c>
      <c r="C157" s="11" t="s">
        <v>903</v>
      </c>
      <c r="D157" s="11" t="s">
        <v>904</v>
      </c>
      <c r="E157" s="11" t="s">
        <v>895</v>
      </c>
      <c r="F157" s="11" t="s">
        <v>59</v>
      </c>
      <c r="G157" s="11" t="s">
        <v>60</v>
      </c>
      <c r="H157" s="11" t="s">
        <v>234</v>
      </c>
      <c r="I157" s="11" t="s">
        <v>905</v>
      </c>
      <c r="J157" s="11" t="s">
        <v>906</v>
      </c>
      <c r="K157" s="11" t="s">
        <v>907</v>
      </c>
      <c r="L157" s="12" t="s">
        <v>23</v>
      </c>
      <c r="M157" s="12" t="s">
        <v>66</v>
      </c>
      <c r="N157" s="11" t="s">
        <v>67</v>
      </c>
      <c r="O157" s="11" t="s">
        <v>68</v>
      </c>
      <c r="P157" s="11">
        <v>2</v>
      </c>
      <c r="Q157" s="11" t="s">
        <v>898</v>
      </c>
      <c r="R157" s="11" t="s">
        <v>67</v>
      </c>
      <c r="S157" s="11" t="s">
        <v>212</v>
      </c>
      <c r="T157" s="13" t="s">
        <v>67</v>
      </c>
      <c r="U157" s="8"/>
      <c r="V157" s="8"/>
      <c r="W157" s="2"/>
    </row>
    <row r="158" spans="1:23" ht="33.950000000000003" customHeight="1">
      <c r="A158" s="11" t="s">
        <v>55</v>
      </c>
      <c r="B158" s="11" t="s">
        <v>13</v>
      </c>
      <c r="C158" s="11" t="s">
        <v>908</v>
      </c>
      <c r="D158" s="11" t="s">
        <v>909</v>
      </c>
      <c r="E158" s="11" t="s">
        <v>910</v>
      </c>
      <c r="F158" s="11" t="s">
        <v>59</v>
      </c>
      <c r="G158" s="11" t="s">
        <v>60</v>
      </c>
      <c r="H158" s="11" t="s">
        <v>194</v>
      </c>
      <c r="I158" s="11" t="s">
        <v>911</v>
      </c>
      <c r="J158" s="11" t="s">
        <v>912</v>
      </c>
      <c r="K158" s="11" t="s">
        <v>913</v>
      </c>
      <c r="L158" s="12" t="s">
        <v>65</v>
      </c>
      <c r="M158" s="12" t="s">
        <v>66</v>
      </c>
      <c r="N158" s="11" t="s">
        <v>67</v>
      </c>
      <c r="O158" s="11" t="s">
        <v>68</v>
      </c>
      <c r="P158" s="11" t="s">
        <v>276</v>
      </c>
      <c r="Q158" s="11" t="s">
        <v>67</v>
      </c>
      <c r="R158" s="11" t="s">
        <v>67</v>
      </c>
      <c r="S158" s="11" t="s">
        <v>212</v>
      </c>
      <c r="T158" s="13" t="s">
        <v>67</v>
      </c>
      <c r="U158" s="8"/>
      <c r="V158" s="8"/>
      <c r="W158" s="2"/>
    </row>
    <row r="159" spans="1:23" ht="33.950000000000003" customHeight="1">
      <c r="A159" s="11" t="s">
        <v>55</v>
      </c>
      <c r="B159" s="11" t="s">
        <v>13</v>
      </c>
      <c r="C159" s="11" t="s">
        <v>914</v>
      </c>
      <c r="D159" s="11" t="s">
        <v>915</v>
      </c>
      <c r="E159" s="11" t="s">
        <v>910</v>
      </c>
      <c r="F159" s="11" t="s">
        <v>59</v>
      </c>
      <c r="G159" s="11" t="s">
        <v>60</v>
      </c>
      <c r="H159" s="11" t="s">
        <v>200</v>
      </c>
      <c r="I159" s="11" t="s">
        <v>916</v>
      </c>
      <c r="J159" s="11" t="s">
        <v>917</v>
      </c>
      <c r="K159" s="11" t="s">
        <v>918</v>
      </c>
      <c r="L159" s="12" t="s">
        <v>23</v>
      </c>
      <c r="M159" s="12" t="s">
        <v>66</v>
      </c>
      <c r="N159" s="11" t="s">
        <v>67</v>
      </c>
      <c r="O159" s="11" t="s">
        <v>68</v>
      </c>
      <c r="P159" s="11" t="s">
        <v>276</v>
      </c>
      <c r="Q159" s="11" t="s">
        <v>67</v>
      </c>
      <c r="R159" s="11" t="s">
        <v>67</v>
      </c>
      <c r="S159" s="11" t="s">
        <v>212</v>
      </c>
      <c r="T159" s="13" t="s">
        <v>67</v>
      </c>
      <c r="U159" s="8"/>
      <c r="V159" s="8"/>
      <c r="W159" s="2"/>
    </row>
    <row r="160" spans="1:23" ht="33.950000000000003" customHeight="1">
      <c r="A160" s="11" t="s">
        <v>55</v>
      </c>
      <c r="B160" s="11" t="s">
        <v>13</v>
      </c>
      <c r="C160" s="11" t="s">
        <v>919</v>
      </c>
      <c r="D160" s="11" t="s">
        <v>920</v>
      </c>
      <c r="E160" s="11" t="s">
        <v>921</v>
      </c>
      <c r="F160" s="11" t="s">
        <v>59</v>
      </c>
      <c r="G160" s="11" t="s">
        <v>60</v>
      </c>
      <c r="H160" s="11" t="s">
        <v>194</v>
      </c>
      <c r="I160" s="11" t="s">
        <v>224</v>
      </c>
      <c r="J160" s="11" t="s">
        <v>922</v>
      </c>
      <c r="K160" s="11" t="s">
        <v>923</v>
      </c>
      <c r="L160" s="12" t="s">
        <v>65</v>
      </c>
      <c r="M160" s="12" t="s">
        <v>66</v>
      </c>
      <c r="N160" s="11" t="s">
        <v>67</v>
      </c>
      <c r="O160" s="11" t="s">
        <v>68</v>
      </c>
      <c r="P160" s="11">
        <v>2</v>
      </c>
      <c r="Q160" s="11" t="s">
        <v>924</v>
      </c>
      <c r="R160" s="11" t="s">
        <v>67</v>
      </c>
      <c r="S160" s="11" t="s">
        <v>212</v>
      </c>
      <c r="T160" s="13" t="s">
        <v>67</v>
      </c>
      <c r="U160" s="8"/>
      <c r="V160" s="8"/>
      <c r="W160" s="2"/>
    </row>
    <row r="161" spans="1:23" ht="33.950000000000003" customHeight="1">
      <c r="A161" s="11" t="s">
        <v>55</v>
      </c>
      <c r="B161" s="11" t="s">
        <v>13</v>
      </c>
      <c r="C161" s="11" t="s">
        <v>925</v>
      </c>
      <c r="D161" s="11" t="s">
        <v>926</v>
      </c>
      <c r="E161" s="11" t="s">
        <v>921</v>
      </c>
      <c r="F161" s="11" t="s">
        <v>59</v>
      </c>
      <c r="G161" s="11" t="s">
        <v>60</v>
      </c>
      <c r="H161" s="11" t="s">
        <v>200</v>
      </c>
      <c r="I161" s="11" t="s">
        <v>439</v>
      </c>
      <c r="J161" s="11" t="s">
        <v>927</v>
      </c>
      <c r="K161" s="11" t="s">
        <v>928</v>
      </c>
      <c r="L161" s="12" t="s">
        <v>106</v>
      </c>
      <c r="M161" s="12" t="s">
        <v>67</v>
      </c>
      <c r="N161" s="11" t="s">
        <v>317</v>
      </c>
      <c r="O161" s="11" t="s">
        <v>68</v>
      </c>
      <c r="P161" s="11">
        <v>2</v>
      </c>
      <c r="Q161" s="11" t="s">
        <v>924</v>
      </c>
      <c r="R161" s="11" t="s">
        <v>67</v>
      </c>
      <c r="S161" s="11" t="s">
        <v>212</v>
      </c>
      <c r="T161" s="13" t="s">
        <v>67</v>
      </c>
      <c r="U161" s="8"/>
      <c r="V161" s="8"/>
      <c r="W161" s="2"/>
    </row>
    <row r="162" spans="1:23" ht="33.950000000000003" customHeight="1">
      <c r="A162" s="11" t="s">
        <v>55</v>
      </c>
      <c r="B162" s="11" t="s">
        <v>13</v>
      </c>
      <c r="C162" s="11" t="s">
        <v>929</v>
      </c>
      <c r="D162" s="11" t="s">
        <v>930</v>
      </c>
      <c r="E162" s="11" t="s">
        <v>921</v>
      </c>
      <c r="F162" s="11" t="s">
        <v>59</v>
      </c>
      <c r="G162" s="11" t="s">
        <v>60</v>
      </c>
      <c r="H162" s="11" t="s">
        <v>234</v>
      </c>
      <c r="I162" s="11" t="s">
        <v>931</v>
      </c>
      <c r="J162" s="11" t="s">
        <v>932</v>
      </c>
      <c r="K162" s="11" t="s">
        <v>933</v>
      </c>
      <c r="L162" s="12" t="s">
        <v>23</v>
      </c>
      <c r="M162" s="12" t="s">
        <v>66</v>
      </c>
      <c r="N162" s="11" t="s">
        <v>67</v>
      </c>
      <c r="O162" s="11" t="s">
        <v>68</v>
      </c>
      <c r="P162" s="11">
        <v>2</v>
      </c>
      <c r="Q162" s="11" t="s">
        <v>924</v>
      </c>
      <c r="R162" s="11" t="s">
        <v>67</v>
      </c>
      <c r="S162" s="11" t="s">
        <v>212</v>
      </c>
      <c r="T162" s="13" t="s">
        <v>67</v>
      </c>
      <c r="U162" s="8"/>
      <c r="V162" s="8"/>
      <c r="W162" s="2"/>
    </row>
    <row r="163" spans="1:23" ht="48" customHeight="1">
      <c r="A163" s="11" t="s">
        <v>55</v>
      </c>
      <c r="B163" s="11" t="s">
        <v>13</v>
      </c>
      <c r="C163" s="11" t="s">
        <v>934</v>
      </c>
      <c r="D163" s="11" t="s">
        <v>935</v>
      </c>
      <c r="E163" s="11" t="s">
        <v>936</v>
      </c>
      <c r="F163" s="11" t="s">
        <v>59</v>
      </c>
      <c r="G163" s="11" t="s">
        <v>60</v>
      </c>
      <c r="H163" s="11" t="s">
        <v>194</v>
      </c>
      <c r="I163" s="11" t="s">
        <v>911</v>
      </c>
      <c r="J163" s="11" t="s">
        <v>937</v>
      </c>
      <c r="K163" s="11" t="s">
        <v>938</v>
      </c>
      <c r="L163" s="12" t="s">
        <v>65</v>
      </c>
      <c r="M163" s="12" t="s">
        <v>66</v>
      </c>
      <c r="N163" s="11" t="s">
        <v>67</v>
      </c>
      <c r="O163" s="11" t="s">
        <v>68</v>
      </c>
      <c r="P163" s="11" t="s">
        <v>939</v>
      </c>
      <c r="Q163" s="11" t="s">
        <v>940</v>
      </c>
      <c r="R163" s="11" t="s">
        <v>67</v>
      </c>
      <c r="S163" s="11" t="s">
        <v>212</v>
      </c>
      <c r="T163" s="13" t="s">
        <v>67</v>
      </c>
      <c r="U163" s="8"/>
      <c r="V163" s="8"/>
      <c r="W163" s="2"/>
    </row>
    <row r="164" spans="1:23" ht="33.950000000000003" customHeight="1">
      <c r="A164" s="11" t="s">
        <v>55</v>
      </c>
      <c r="B164" s="11" t="s">
        <v>13</v>
      </c>
      <c r="C164" s="11" t="s">
        <v>941</v>
      </c>
      <c r="D164" s="11" t="s">
        <v>942</v>
      </c>
      <c r="E164" s="11" t="s">
        <v>936</v>
      </c>
      <c r="F164" s="11" t="s">
        <v>59</v>
      </c>
      <c r="G164" s="11" t="s">
        <v>60</v>
      </c>
      <c r="H164" s="11" t="s">
        <v>200</v>
      </c>
      <c r="I164" s="11" t="s">
        <v>943</v>
      </c>
      <c r="J164" s="11" t="s">
        <v>944</v>
      </c>
      <c r="K164" s="11" t="s">
        <v>945</v>
      </c>
      <c r="L164" s="12" t="s">
        <v>23</v>
      </c>
      <c r="M164" s="12" t="s">
        <v>66</v>
      </c>
      <c r="N164" s="11" t="s">
        <v>67</v>
      </c>
      <c r="O164" s="11" t="s">
        <v>68</v>
      </c>
      <c r="P164" s="11" t="s">
        <v>939</v>
      </c>
      <c r="Q164" s="11" t="s">
        <v>940</v>
      </c>
      <c r="R164" s="11" t="s">
        <v>67</v>
      </c>
      <c r="S164" s="11" t="s">
        <v>212</v>
      </c>
      <c r="T164" s="13" t="s">
        <v>67</v>
      </c>
      <c r="U164" s="8"/>
      <c r="V164" s="8"/>
      <c r="W164" s="2"/>
    </row>
    <row r="165" spans="1:23" ht="48" customHeight="1">
      <c r="A165" s="11" t="s">
        <v>55</v>
      </c>
      <c r="B165" s="11" t="s">
        <v>13</v>
      </c>
      <c r="C165" s="11" t="s">
        <v>946</v>
      </c>
      <c r="D165" s="11" t="s">
        <v>947</v>
      </c>
      <c r="E165" s="11" t="s">
        <v>948</v>
      </c>
      <c r="F165" s="11" t="s">
        <v>59</v>
      </c>
      <c r="G165" s="11" t="s">
        <v>60</v>
      </c>
      <c r="H165" s="11" t="s">
        <v>194</v>
      </c>
      <c r="I165" s="11" t="s">
        <v>949</v>
      </c>
      <c r="J165" s="11" t="s">
        <v>950</v>
      </c>
      <c r="K165" s="11" t="s">
        <v>951</v>
      </c>
      <c r="L165" s="12" t="s">
        <v>65</v>
      </c>
      <c r="M165" s="12" t="s">
        <v>66</v>
      </c>
      <c r="N165" s="11" t="s">
        <v>67</v>
      </c>
      <c r="O165" s="11" t="s">
        <v>68</v>
      </c>
      <c r="P165" s="11" t="s">
        <v>952</v>
      </c>
      <c r="Q165" s="11" t="s">
        <v>953</v>
      </c>
      <c r="R165" s="11" t="s">
        <v>67</v>
      </c>
      <c r="S165" s="11" t="s">
        <v>212</v>
      </c>
      <c r="T165" s="13" t="s">
        <v>67</v>
      </c>
      <c r="U165" s="8"/>
      <c r="V165" s="8"/>
      <c r="W165" s="2"/>
    </row>
    <row r="166" spans="1:23" ht="90" customHeight="1">
      <c r="A166" s="11" t="s">
        <v>55</v>
      </c>
      <c r="B166" s="11" t="s">
        <v>13</v>
      </c>
      <c r="C166" s="11" t="s">
        <v>954</v>
      </c>
      <c r="D166" s="11" t="s">
        <v>955</v>
      </c>
      <c r="E166" s="11" t="s">
        <v>948</v>
      </c>
      <c r="F166" s="11" t="s">
        <v>59</v>
      </c>
      <c r="G166" s="11" t="s">
        <v>60</v>
      </c>
      <c r="H166" s="11" t="s">
        <v>200</v>
      </c>
      <c r="I166" s="11" t="s">
        <v>956</v>
      </c>
      <c r="J166" s="11" t="s">
        <v>957</v>
      </c>
      <c r="K166" s="11" t="s">
        <v>958</v>
      </c>
      <c r="L166" s="12" t="s">
        <v>23</v>
      </c>
      <c r="M166" s="12" t="s">
        <v>66</v>
      </c>
      <c r="N166" s="11" t="s">
        <v>67</v>
      </c>
      <c r="O166" s="11" t="s">
        <v>68</v>
      </c>
      <c r="P166" s="11" t="s">
        <v>952</v>
      </c>
      <c r="Q166" s="11" t="s">
        <v>953</v>
      </c>
      <c r="R166" s="11" t="s">
        <v>67</v>
      </c>
      <c r="S166" s="11" t="s">
        <v>212</v>
      </c>
      <c r="T166" s="13" t="s">
        <v>67</v>
      </c>
      <c r="U166" s="8"/>
      <c r="V166" s="8"/>
      <c r="W166" s="2"/>
    </row>
    <row r="167" spans="1:23" ht="62.1" customHeight="1">
      <c r="A167" s="11" t="s">
        <v>55</v>
      </c>
      <c r="B167" s="11" t="s">
        <v>13</v>
      </c>
      <c r="C167" s="11" t="s">
        <v>959</v>
      </c>
      <c r="D167" s="11" t="s">
        <v>960</v>
      </c>
      <c r="E167" s="11" t="s">
        <v>948</v>
      </c>
      <c r="F167" s="11" t="s">
        <v>59</v>
      </c>
      <c r="G167" s="11" t="s">
        <v>60</v>
      </c>
      <c r="H167" s="11" t="s">
        <v>750</v>
      </c>
      <c r="I167" s="11" t="s">
        <v>961</v>
      </c>
      <c r="J167" s="11" t="s">
        <v>962</v>
      </c>
      <c r="K167" s="11" t="s">
        <v>963</v>
      </c>
      <c r="L167" s="12" t="s">
        <v>23</v>
      </c>
      <c r="M167" s="12" t="s">
        <v>66</v>
      </c>
      <c r="N167" s="11" t="s">
        <v>67</v>
      </c>
      <c r="O167" s="11" t="s">
        <v>68</v>
      </c>
      <c r="P167" s="11" t="s">
        <v>952</v>
      </c>
      <c r="Q167" s="11" t="s">
        <v>953</v>
      </c>
      <c r="R167" s="11" t="s">
        <v>67</v>
      </c>
      <c r="S167" s="11" t="s">
        <v>212</v>
      </c>
      <c r="T167" s="13" t="s">
        <v>67</v>
      </c>
      <c r="U167" s="8"/>
      <c r="V167" s="8"/>
      <c r="W167" s="2"/>
    </row>
    <row r="168" spans="1:23" ht="62.1" customHeight="1">
      <c r="A168" s="11" t="s">
        <v>55</v>
      </c>
      <c r="B168" s="11" t="s">
        <v>13</v>
      </c>
      <c r="C168" s="11" t="s">
        <v>964</v>
      </c>
      <c r="D168" s="11" t="s">
        <v>965</v>
      </c>
      <c r="E168" s="11" t="s">
        <v>966</v>
      </c>
      <c r="F168" s="11" t="s">
        <v>59</v>
      </c>
      <c r="G168" s="11" t="s">
        <v>60</v>
      </c>
      <c r="H168" s="11" t="s">
        <v>194</v>
      </c>
      <c r="I168" s="11" t="s">
        <v>224</v>
      </c>
      <c r="J168" s="11" t="s">
        <v>967</v>
      </c>
      <c r="K168" s="11" t="s">
        <v>968</v>
      </c>
      <c r="L168" s="12" t="s">
        <v>65</v>
      </c>
      <c r="M168" s="12" t="s">
        <v>66</v>
      </c>
      <c r="N168" s="11" t="s">
        <v>67</v>
      </c>
      <c r="O168" s="11" t="s">
        <v>68</v>
      </c>
      <c r="P168" s="11" t="s">
        <v>883</v>
      </c>
      <c r="Q168" s="11" t="s">
        <v>969</v>
      </c>
      <c r="R168" s="11" t="s">
        <v>67</v>
      </c>
      <c r="S168" s="11" t="s">
        <v>212</v>
      </c>
      <c r="T168" s="13" t="s">
        <v>67</v>
      </c>
      <c r="U168" s="8"/>
      <c r="V168" s="8"/>
      <c r="W168" s="2"/>
    </row>
    <row r="169" spans="1:23" ht="90" customHeight="1">
      <c r="A169" s="11" t="s">
        <v>55</v>
      </c>
      <c r="B169" s="11" t="s">
        <v>13</v>
      </c>
      <c r="C169" s="11" t="s">
        <v>970</v>
      </c>
      <c r="D169" s="11" t="s">
        <v>971</v>
      </c>
      <c r="E169" s="11" t="s">
        <v>966</v>
      </c>
      <c r="F169" s="11" t="s">
        <v>59</v>
      </c>
      <c r="G169" s="11" t="s">
        <v>60</v>
      </c>
      <c r="H169" s="11" t="s">
        <v>200</v>
      </c>
      <c r="I169" s="11" t="s">
        <v>972</v>
      </c>
      <c r="J169" s="11" t="s">
        <v>973</v>
      </c>
      <c r="K169" s="11" t="s">
        <v>974</v>
      </c>
      <c r="L169" s="12" t="s">
        <v>23</v>
      </c>
      <c r="M169" s="12" t="s">
        <v>66</v>
      </c>
      <c r="N169" s="11" t="s">
        <v>67</v>
      </c>
      <c r="O169" s="11" t="s">
        <v>68</v>
      </c>
      <c r="P169" s="11" t="s">
        <v>883</v>
      </c>
      <c r="Q169" s="11" t="s">
        <v>969</v>
      </c>
      <c r="R169" s="11" t="s">
        <v>67</v>
      </c>
      <c r="S169" s="11" t="s">
        <v>212</v>
      </c>
      <c r="T169" s="13" t="s">
        <v>67</v>
      </c>
      <c r="U169" s="8"/>
      <c r="V169" s="8"/>
      <c r="W169" s="2"/>
    </row>
    <row r="170" spans="1:23" ht="75.95" customHeight="1">
      <c r="A170" s="11" t="s">
        <v>55</v>
      </c>
      <c r="B170" s="11" t="s">
        <v>13</v>
      </c>
      <c r="C170" s="11" t="s">
        <v>975</v>
      </c>
      <c r="D170" s="11" t="s">
        <v>976</v>
      </c>
      <c r="E170" s="11" t="s">
        <v>977</v>
      </c>
      <c r="F170" s="11" t="s">
        <v>978</v>
      </c>
      <c r="G170" s="11" t="s">
        <v>979</v>
      </c>
      <c r="H170" s="11" t="s">
        <v>980</v>
      </c>
      <c r="I170" s="11" t="s">
        <v>981</v>
      </c>
      <c r="J170" s="11" t="s">
        <v>67</v>
      </c>
      <c r="K170" s="11" t="s">
        <v>982</v>
      </c>
      <c r="L170" s="12" t="s">
        <v>25</v>
      </c>
      <c r="M170" s="12" t="s">
        <v>67</v>
      </c>
      <c r="N170" s="11" t="s">
        <v>983</v>
      </c>
      <c r="O170" s="11" t="s">
        <v>68</v>
      </c>
      <c r="P170" s="11" t="s">
        <v>984</v>
      </c>
      <c r="Q170" s="11" t="s">
        <v>67</v>
      </c>
      <c r="R170" s="11" t="s">
        <v>67</v>
      </c>
      <c r="S170" s="11" t="s">
        <v>212</v>
      </c>
      <c r="T170" s="13" t="s">
        <v>67</v>
      </c>
      <c r="U170" s="8"/>
      <c r="V170" s="8"/>
      <c r="W170" s="2"/>
    </row>
    <row r="171" spans="1:23" ht="73.5" customHeight="1">
      <c r="A171" s="11" t="s">
        <v>55</v>
      </c>
      <c r="B171" s="11" t="s">
        <v>13</v>
      </c>
      <c r="C171" s="11" t="s">
        <v>985</v>
      </c>
      <c r="D171" s="11" t="s">
        <v>986</v>
      </c>
      <c r="E171" s="11" t="s">
        <v>987</v>
      </c>
      <c r="F171" s="11" t="s">
        <v>978</v>
      </c>
      <c r="G171" s="11" t="s">
        <v>979</v>
      </c>
      <c r="H171" s="11" t="s">
        <v>980</v>
      </c>
      <c r="I171" s="11" t="s">
        <v>988</v>
      </c>
      <c r="J171" s="11" t="s">
        <v>67</v>
      </c>
      <c r="K171" s="11" t="s">
        <v>989</v>
      </c>
      <c r="L171" s="12" t="s">
        <v>25</v>
      </c>
      <c r="M171" s="12" t="s">
        <v>67</v>
      </c>
      <c r="N171" s="11" t="s">
        <v>990</v>
      </c>
      <c r="O171" s="11" t="s">
        <v>991</v>
      </c>
      <c r="P171" s="11" t="s">
        <v>992</v>
      </c>
      <c r="Q171" s="11" t="s">
        <v>115</v>
      </c>
      <c r="R171" s="11" t="s">
        <v>67</v>
      </c>
      <c r="S171" s="11" t="s">
        <v>212</v>
      </c>
      <c r="T171" s="13" t="s">
        <v>67</v>
      </c>
      <c r="U171" s="8"/>
      <c r="V171" s="8"/>
      <c r="W171" s="2"/>
    </row>
    <row r="172" spans="1:23" ht="70.5" customHeight="1">
      <c r="A172" s="11" t="s">
        <v>55</v>
      </c>
      <c r="B172" s="11" t="s">
        <v>13</v>
      </c>
      <c r="C172" s="11" t="s">
        <v>993</v>
      </c>
      <c r="D172" s="11" t="s">
        <v>994</v>
      </c>
      <c r="E172" s="11" t="s">
        <v>995</v>
      </c>
      <c r="F172" s="11" t="s">
        <v>996</v>
      </c>
      <c r="G172" s="11" t="s">
        <v>979</v>
      </c>
      <c r="H172" s="11" t="s">
        <v>996</v>
      </c>
      <c r="I172" s="11" t="s">
        <v>997</v>
      </c>
      <c r="J172" s="11" t="s">
        <v>67</v>
      </c>
      <c r="K172" s="11" t="s">
        <v>998</v>
      </c>
      <c r="L172" s="12" t="s">
        <v>25</v>
      </c>
      <c r="M172" s="12" t="s">
        <v>999</v>
      </c>
      <c r="N172" s="11" t="s">
        <v>1000</v>
      </c>
      <c r="O172" s="11" t="s">
        <v>68</v>
      </c>
      <c r="P172" s="11" t="s">
        <v>1001</v>
      </c>
      <c r="Q172" s="11" t="s">
        <v>1002</v>
      </c>
      <c r="R172" s="11" t="s">
        <v>67</v>
      </c>
      <c r="S172" s="11" t="s">
        <v>212</v>
      </c>
      <c r="T172" s="13" t="s">
        <v>67</v>
      </c>
      <c r="U172" s="8"/>
      <c r="V172" s="8"/>
      <c r="W172" s="2" t="s">
        <v>1003</v>
      </c>
    </row>
    <row r="173" spans="1:23" ht="54" customHeight="1">
      <c r="A173" s="11" t="s">
        <v>55</v>
      </c>
      <c r="B173" s="11" t="s">
        <v>13</v>
      </c>
      <c r="C173" s="11" t="s">
        <v>1004</v>
      </c>
      <c r="D173" s="11" t="s">
        <v>1005</v>
      </c>
      <c r="E173" s="11" t="s">
        <v>1006</v>
      </c>
      <c r="F173" s="11" t="s">
        <v>996</v>
      </c>
      <c r="G173" s="11" t="s">
        <v>979</v>
      </c>
      <c r="H173" s="11" t="s">
        <v>996</v>
      </c>
      <c r="I173" s="11" t="s">
        <v>1007</v>
      </c>
      <c r="J173" s="11" t="s">
        <v>1008</v>
      </c>
      <c r="K173" s="11" t="s">
        <v>1009</v>
      </c>
      <c r="L173" s="12" t="s">
        <v>1010</v>
      </c>
      <c r="M173" s="12" t="s">
        <v>999</v>
      </c>
      <c r="N173" s="11" t="s">
        <v>67</v>
      </c>
      <c r="O173" s="11" t="s">
        <v>92</v>
      </c>
      <c r="P173" s="11" t="s">
        <v>67</v>
      </c>
      <c r="Q173" s="11" t="s">
        <v>67</v>
      </c>
      <c r="R173" s="11" t="s">
        <v>67</v>
      </c>
      <c r="S173" s="11" t="s">
        <v>212</v>
      </c>
      <c r="T173" s="13" t="s">
        <v>67</v>
      </c>
      <c r="U173" s="8"/>
      <c r="V173" s="8"/>
      <c r="W173" s="2" t="s">
        <v>1011</v>
      </c>
    </row>
    <row r="174" spans="1:23" ht="54.75" customHeight="1">
      <c r="A174" s="11" t="s">
        <v>55</v>
      </c>
      <c r="B174" s="11" t="s">
        <v>13</v>
      </c>
      <c r="C174" s="11" t="s">
        <v>1012</v>
      </c>
      <c r="D174" s="11" t="s">
        <v>1013</v>
      </c>
      <c r="E174" s="11" t="s">
        <v>1014</v>
      </c>
      <c r="F174" s="11" t="s">
        <v>978</v>
      </c>
      <c r="G174" s="11" t="s">
        <v>979</v>
      </c>
      <c r="H174" s="11" t="s">
        <v>980</v>
      </c>
      <c r="I174" s="11" t="s">
        <v>1015</v>
      </c>
      <c r="J174" s="11" t="s">
        <v>1016</v>
      </c>
      <c r="K174" s="11" t="s">
        <v>1017</v>
      </c>
      <c r="L174" s="12" t="s">
        <v>1010</v>
      </c>
      <c r="M174" s="12" t="s">
        <v>999</v>
      </c>
      <c r="N174" s="11" t="s">
        <v>67</v>
      </c>
      <c r="O174" s="11" t="s">
        <v>68</v>
      </c>
      <c r="P174" s="11" t="s">
        <v>183</v>
      </c>
      <c r="Q174" s="11" t="s">
        <v>175</v>
      </c>
      <c r="R174" s="11" t="s">
        <v>67</v>
      </c>
      <c r="S174" s="11" t="s">
        <v>212</v>
      </c>
      <c r="T174" s="13" t="s">
        <v>67</v>
      </c>
      <c r="U174" s="8"/>
      <c r="V174" s="8"/>
      <c r="W174" s="2" t="s">
        <v>1018</v>
      </c>
    </row>
    <row r="175" spans="1:23" ht="88.5" customHeight="1">
      <c r="A175" s="11" t="s">
        <v>55</v>
      </c>
      <c r="B175" s="11" t="s">
        <v>13</v>
      </c>
      <c r="C175" s="11" t="s">
        <v>1019</v>
      </c>
      <c r="D175" s="11" t="s">
        <v>1020</v>
      </c>
      <c r="E175" s="11" t="s">
        <v>1021</v>
      </c>
      <c r="F175" s="11" t="s">
        <v>996</v>
      </c>
      <c r="G175" s="11" t="s">
        <v>979</v>
      </c>
      <c r="H175" s="11" t="s">
        <v>61</v>
      </c>
      <c r="I175" s="11" t="s">
        <v>1022</v>
      </c>
      <c r="J175" s="11" t="s">
        <v>67</v>
      </c>
      <c r="K175" s="11" t="s">
        <v>1023</v>
      </c>
      <c r="L175" s="12" t="s">
        <v>25</v>
      </c>
      <c r="M175" s="12" t="s">
        <v>67</v>
      </c>
      <c r="N175" s="11" t="s">
        <v>1024</v>
      </c>
      <c r="O175" s="11" t="s">
        <v>68</v>
      </c>
      <c r="P175" s="11" t="s">
        <v>1025</v>
      </c>
      <c r="Q175" s="11" t="s">
        <v>67</v>
      </c>
      <c r="R175" s="11" t="s">
        <v>67</v>
      </c>
      <c r="S175" s="11" t="s">
        <v>212</v>
      </c>
      <c r="T175" s="13" t="s">
        <v>67</v>
      </c>
      <c r="U175" s="8"/>
      <c r="V175" s="8"/>
      <c r="W175" s="2" t="s">
        <v>1026</v>
      </c>
    </row>
    <row r="176" spans="1:23" ht="33.950000000000003" customHeight="1">
      <c r="A176" s="11" t="s">
        <v>55</v>
      </c>
      <c r="B176" s="11" t="s">
        <v>13</v>
      </c>
      <c r="C176" s="11" t="s">
        <v>1027</v>
      </c>
      <c r="D176" s="11" t="s">
        <v>1028</v>
      </c>
      <c r="E176" s="11" t="s">
        <v>126</v>
      </c>
      <c r="F176" s="11" t="s">
        <v>59</v>
      </c>
      <c r="G176" s="11" t="s">
        <v>60</v>
      </c>
      <c r="H176" s="11" t="s">
        <v>194</v>
      </c>
      <c r="I176" s="11" t="s">
        <v>1029</v>
      </c>
      <c r="J176" s="11" t="s">
        <v>1030</v>
      </c>
      <c r="K176" s="11" t="s">
        <v>1031</v>
      </c>
      <c r="L176" s="12" t="s">
        <v>65</v>
      </c>
      <c r="M176" s="12" t="s">
        <v>66</v>
      </c>
      <c r="N176" s="11" t="s">
        <v>67</v>
      </c>
      <c r="O176" s="11" t="s">
        <v>130</v>
      </c>
      <c r="P176" s="11" t="s">
        <v>67</v>
      </c>
      <c r="Q176" s="11" t="s">
        <v>67</v>
      </c>
      <c r="R176" s="11" t="s">
        <v>67</v>
      </c>
      <c r="S176" s="11" t="s">
        <v>70</v>
      </c>
      <c r="T176" s="13" t="s">
        <v>67</v>
      </c>
      <c r="U176" s="8"/>
      <c r="V176" s="8"/>
      <c r="W176" s="2" t="s">
        <v>1032</v>
      </c>
    </row>
    <row r="177" spans="1:23" ht="33.950000000000003" customHeight="1">
      <c r="A177" s="11" t="s">
        <v>55</v>
      </c>
      <c r="B177" s="11" t="s">
        <v>13</v>
      </c>
      <c r="C177" s="11" t="s">
        <v>1033</v>
      </c>
      <c r="D177" s="11" t="s">
        <v>1034</v>
      </c>
      <c r="E177" s="11" t="s">
        <v>140</v>
      </c>
      <c r="F177" s="11" t="s">
        <v>59</v>
      </c>
      <c r="G177" s="11" t="s">
        <v>60</v>
      </c>
      <c r="H177" s="11" t="s">
        <v>194</v>
      </c>
      <c r="I177" s="11" t="s">
        <v>1035</v>
      </c>
      <c r="J177" s="11" t="s">
        <v>1036</v>
      </c>
      <c r="K177" s="11" t="s">
        <v>1037</v>
      </c>
      <c r="L177" s="12"/>
      <c r="M177" s="12" t="s">
        <v>67</v>
      </c>
      <c r="N177" s="11" t="s">
        <v>67</v>
      </c>
      <c r="O177" s="11" t="s">
        <v>68</v>
      </c>
      <c r="P177" s="11" t="s">
        <v>145</v>
      </c>
      <c r="Q177" s="11" t="s">
        <v>67</v>
      </c>
      <c r="R177" s="11" t="s">
        <v>67</v>
      </c>
      <c r="S177" s="11" t="s">
        <v>70</v>
      </c>
      <c r="T177" s="13" t="s">
        <v>67</v>
      </c>
      <c r="U177" s="8"/>
      <c r="V177" s="8"/>
      <c r="W177" s="2" t="s">
        <v>1038</v>
      </c>
    </row>
    <row r="178" spans="1:23" ht="48" customHeight="1">
      <c r="A178" s="11" t="s">
        <v>55</v>
      </c>
      <c r="B178" s="11" t="s">
        <v>13</v>
      </c>
      <c r="C178" s="11" t="s">
        <v>1039</v>
      </c>
      <c r="D178" s="11" t="s">
        <v>1040</v>
      </c>
      <c r="E178" s="11" t="s">
        <v>140</v>
      </c>
      <c r="F178" s="11" t="s">
        <v>59</v>
      </c>
      <c r="G178" s="11" t="s">
        <v>60</v>
      </c>
      <c r="H178" s="11" t="s">
        <v>200</v>
      </c>
      <c r="I178" s="11" t="s">
        <v>1041</v>
      </c>
      <c r="J178" s="11" t="s">
        <v>1042</v>
      </c>
      <c r="K178" s="11" t="s">
        <v>1043</v>
      </c>
      <c r="L178" s="12" t="s">
        <v>23</v>
      </c>
      <c r="M178" s="12" t="s">
        <v>67</v>
      </c>
      <c r="N178" s="11" t="s">
        <v>67</v>
      </c>
      <c r="O178" s="11" t="s">
        <v>68</v>
      </c>
      <c r="P178" s="11" t="s">
        <v>145</v>
      </c>
      <c r="Q178" s="11" t="s">
        <v>67</v>
      </c>
      <c r="R178" s="11" t="s">
        <v>67</v>
      </c>
      <c r="S178" s="11" t="s">
        <v>70</v>
      </c>
      <c r="T178" s="13" t="s">
        <v>67</v>
      </c>
      <c r="U178" s="8"/>
      <c r="V178" s="8"/>
      <c r="W178" s="2" t="s">
        <v>1044</v>
      </c>
    </row>
    <row r="179" spans="1:23" ht="48" customHeight="1">
      <c r="A179" s="11" t="s">
        <v>55</v>
      </c>
      <c r="B179" s="11" t="s">
        <v>13</v>
      </c>
      <c r="C179" s="11" t="s">
        <v>1045</v>
      </c>
      <c r="D179" s="11" t="s">
        <v>1046</v>
      </c>
      <c r="E179" s="11" t="s">
        <v>162</v>
      </c>
      <c r="F179" s="11" t="s">
        <v>59</v>
      </c>
      <c r="G179" s="11" t="s">
        <v>60</v>
      </c>
      <c r="H179" s="11" t="s">
        <v>194</v>
      </c>
      <c r="I179" s="11" t="s">
        <v>1047</v>
      </c>
      <c r="J179" s="11" t="s">
        <v>1048</v>
      </c>
      <c r="K179" s="11" t="s">
        <v>1049</v>
      </c>
      <c r="L179" s="12" t="s">
        <v>65</v>
      </c>
      <c r="M179" s="12" t="s">
        <v>66</v>
      </c>
      <c r="N179" s="11" t="s">
        <v>67</v>
      </c>
      <c r="O179" s="11" t="s">
        <v>68</v>
      </c>
      <c r="P179" s="11" t="s">
        <v>167</v>
      </c>
      <c r="Q179" s="11" t="s">
        <v>67</v>
      </c>
      <c r="R179" s="11" t="s">
        <v>67</v>
      </c>
      <c r="S179" s="11" t="s">
        <v>70</v>
      </c>
      <c r="T179" s="13" t="s">
        <v>67</v>
      </c>
      <c r="U179" s="8"/>
      <c r="V179" s="8"/>
      <c r="W179" s="2" t="s">
        <v>1050</v>
      </c>
    </row>
    <row r="180" spans="1:23" ht="33.950000000000003" customHeight="1">
      <c r="A180" s="11" t="s">
        <v>55</v>
      </c>
      <c r="B180" s="11" t="s">
        <v>13</v>
      </c>
      <c r="C180" s="11" t="s">
        <v>1051</v>
      </c>
      <c r="D180" s="11" t="s">
        <v>1052</v>
      </c>
      <c r="E180" s="11" t="s">
        <v>162</v>
      </c>
      <c r="F180" s="11" t="s">
        <v>59</v>
      </c>
      <c r="G180" s="11" t="s">
        <v>60</v>
      </c>
      <c r="H180" s="11" t="s">
        <v>200</v>
      </c>
      <c r="I180" s="11" t="s">
        <v>720</v>
      </c>
      <c r="J180" s="11" t="s">
        <v>1053</v>
      </c>
      <c r="K180" s="11" t="s">
        <v>1054</v>
      </c>
      <c r="L180" s="12" t="s">
        <v>23</v>
      </c>
      <c r="M180" s="12" t="s">
        <v>66</v>
      </c>
      <c r="N180" s="11" t="s">
        <v>67</v>
      </c>
      <c r="O180" s="11" t="s">
        <v>68</v>
      </c>
      <c r="P180" s="11" t="s">
        <v>167</v>
      </c>
      <c r="Q180" s="11" t="s">
        <v>67</v>
      </c>
      <c r="R180" s="11" t="s">
        <v>67</v>
      </c>
      <c r="S180" s="11" t="s">
        <v>70</v>
      </c>
      <c r="T180" s="13" t="s">
        <v>67</v>
      </c>
      <c r="U180" s="8"/>
      <c r="V180" s="8"/>
      <c r="W180" s="2" t="s">
        <v>1055</v>
      </c>
    </row>
    <row r="181" spans="1:23" ht="33.950000000000003" customHeight="1">
      <c r="A181" s="11" t="s">
        <v>55</v>
      </c>
      <c r="B181" s="11" t="s">
        <v>13</v>
      </c>
      <c r="C181" s="11" t="s">
        <v>1056</v>
      </c>
      <c r="D181" s="11" t="s">
        <v>1057</v>
      </c>
      <c r="E181" s="11" t="s">
        <v>148</v>
      </c>
      <c r="F181" s="11" t="s">
        <v>59</v>
      </c>
      <c r="G181" s="11" t="s">
        <v>60</v>
      </c>
      <c r="H181" s="11" t="s">
        <v>194</v>
      </c>
      <c r="I181" s="11" t="s">
        <v>1058</v>
      </c>
      <c r="J181" s="11" t="s">
        <v>1059</v>
      </c>
      <c r="K181" s="11" t="s">
        <v>1060</v>
      </c>
      <c r="L181" s="12" t="s">
        <v>65</v>
      </c>
      <c r="M181" s="12" t="s">
        <v>66</v>
      </c>
      <c r="N181" s="11" t="s">
        <v>67</v>
      </c>
      <c r="O181" s="11" t="s">
        <v>68</v>
      </c>
      <c r="P181" s="11" t="s">
        <v>152</v>
      </c>
      <c r="Q181" s="11" t="s">
        <v>67</v>
      </c>
      <c r="R181" s="11" t="s">
        <v>67</v>
      </c>
      <c r="S181" s="11" t="s">
        <v>70</v>
      </c>
      <c r="T181" s="13" t="s">
        <v>67</v>
      </c>
      <c r="U181" s="8"/>
      <c r="V181" s="8"/>
      <c r="W181" s="2" t="s">
        <v>1061</v>
      </c>
    </row>
    <row r="182" spans="1:23" ht="33.950000000000003" customHeight="1">
      <c r="A182" s="11" t="s">
        <v>55</v>
      </c>
      <c r="B182" s="11" t="s">
        <v>13</v>
      </c>
      <c r="C182" s="11" t="s">
        <v>1062</v>
      </c>
      <c r="D182" s="11" t="s">
        <v>1063</v>
      </c>
      <c r="E182" s="11" t="s">
        <v>148</v>
      </c>
      <c r="F182" s="11" t="s">
        <v>59</v>
      </c>
      <c r="G182" s="11" t="s">
        <v>60</v>
      </c>
      <c r="H182" s="11" t="s">
        <v>200</v>
      </c>
      <c r="I182" s="11" t="s">
        <v>1064</v>
      </c>
      <c r="J182" s="11" t="s">
        <v>1065</v>
      </c>
      <c r="K182" s="11" t="s">
        <v>1066</v>
      </c>
      <c r="L182" s="12" t="s">
        <v>23</v>
      </c>
      <c r="M182" s="12" t="s">
        <v>66</v>
      </c>
      <c r="N182" s="11" t="s">
        <v>67</v>
      </c>
      <c r="O182" s="11" t="s">
        <v>68</v>
      </c>
      <c r="P182" s="11" t="s">
        <v>152</v>
      </c>
      <c r="Q182" s="11" t="s">
        <v>67</v>
      </c>
      <c r="R182" s="11" t="s">
        <v>67</v>
      </c>
      <c r="S182" s="11" t="s">
        <v>70</v>
      </c>
      <c r="T182" s="13" t="s">
        <v>67</v>
      </c>
      <c r="U182" s="8"/>
      <c r="V182" s="8"/>
      <c r="W182" s="2" t="s">
        <v>1067</v>
      </c>
    </row>
    <row r="183" spans="1:23" ht="33.950000000000003" customHeight="1">
      <c r="A183" s="11" t="s">
        <v>55</v>
      </c>
      <c r="B183" s="11" t="s">
        <v>13</v>
      </c>
      <c r="C183" s="11" t="s">
        <v>1068</v>
      </c>
      <c r="D183" s="11" t="s">
        <v>1069</v>
      </c>
      <c r="E183" s="11" t="s">
        <v>133</v>
      </c>
      <c r="F183" s="11" t="s">
        <v>59</v>
      </c>
      <c r="G183" s="11" t="s">
        <v>60</v>
      </c>
      <c r="H183" s="11" t="s">
        <v>194</v>
      </c>
      <c r="I183" s="11" t="s">
        <v>1070</v>
      </c>
      <c r="J183" s="11" t="s">
        <v>1071</v>
      </c>
      <c r="K183" s="11" t="s">
        <v>1072</v>
      </c>
      <c r="L183" s="12" t="s">
        <v>65</v>
      </c>
      <c r="M183" s="12" t="s">
        <v>66</v>
      </c>
      <c r="N183" s="11" t="s">
        <v>67</v>
      </c>
      <c r="O183" s="11" t="s">
        <v>68</v>
      </c>
      <c r="P183" s="11" t="s">
        <v>137</v>
      </c>
      <c r="Q183" s="11" t="s">
        <v>67</v>
      </c>
      <c r="R183" s="11" t="s">
        <v>67</v>
      </c>
      <c r="S183" s="11" t="s">
        <v>70</v>
      </c>
      <c r="T183" s="13" t="s">
        <v>67</v>
      </c>
      <c r="U183" s="8"/>
      <c r="V183" s="8"/>
      <c r="W183" s="2" t="s">
        <v>1073</v>
      </c>
    </row>
    <row r="184" spans="1:23" ht="48" customHeight="1">
      <c r="A184" s="11" t="s">
        <v>55</v>
      </c>
      <c r="B184" s="11" t="s">
        <v>13</v>
      </c>
      <c r="C184" s="11" t="s">
        <v>1074</v>
      </c>
      <c r="D184" s="11" t="s">
        <v>1075</v>
      </c>
      <c r="E184" s="11" t="s">
        <v>133</v>
      </c>
      <c r="F184" s="11" t="s">
        <v>59</v>
      </c>
      <c r="G184" s="11" t="s">
        <v>60</v>
      </c>
      <c r="H184" s="11" t="s">
        <v>200</v>
      </c>
      <c r="I184" s="11" t="s">
        <v>1076</v>
      </c>
      <c r="J184" s="11" t="s">
        <v>1077</v>
      </c>
      <c r="K184" s="11" t="s">
        <v>1078</v>
      </c>
      <c r="L184" s="12" t="s">
        <v>23</v>
      </c>
      <c r="M184" s="12" t="s">
        <v>66</v>
      </c>
      <c r="N184" s="11" t="s">
        <v>67</v>
      </c>
      <c r="O184" s="11" t="s">
        <v>68</v>
      </c>
      <c r="P184" s="11" t="s">
        <v>137</v>
      </c>
      <c r="Q184" s="11" t="s">
        <v>67</v>
      </c>
      <c r="R184" s="11" t="s">
        <v>67</v>
      </c>
      <c r="S184" s="11" t="s">
        <v>70</v>
      </c>
      <c r="T184" s="13" t="s">
        <v>67</v>
      </c>
      <c r="U184" s="8"/>
      <c r="V184" s="8"/>
      <c r="W184" s="2" t="s">
        <v>1079</v>
      </c>
    </row>
    <row r="185" spans="1:23" ht="48" customHeight="1">
      <c r="A185" s="11" t="s">
        <v>55</v>
      </c>
      <c r="B185" s="11" t="s">
        <v>13</v>
      </c>
      <c r="C185" s="11" t="s">
        <v>1080</v>
      </c>
      <c r="D185" s="11" t="s">
        <v>1081</v>
      </c>
      <c r="E185" s="11" t="s">
        <v>155</v>
      </c>
      <c r="F185" s="11" t="s">
        <v>59</v>
      </c>
      <c r="G185" s="11" t="s">
        <v>60</v>
      </c>
      <c r="H185" s="11" t="s">
        <v>194</v>
      </c>
      <c r="I185" s="11" t="s">
        <v>1082</v>
      </c>
      <c r="J185" s="11" t="s">
        <v>1083</v>
      </c>
      <c r="K185" s="11" t="s">
        <v>1084</v>
      </c>
      <c r="L185" s="12" t="s">
        <v>65</v>
      </c>
      <c r="M185" s="12" t="s">
        <v>66</v>
      </c>
      <c r="N185" s="11" t="s">
        <v>67</v>
      </c>
      <c r="O185" s="11" t="s">
        <v>68</v>
      </c>
      <c r="P185" s="11" t="s">
        <v>159</v>
      </c>
      <c r="Q185" s="11" t="s">
        <v>67</v>
      </c>
      <c r="R185" s="11" t="s">
        <v>67</v>
      </c>
      <c r="S185" s="11" t="s">
        <v>70</v>
      </c>
      <c r="T185" s="13" t="s">
        <v>67</v>
      </c>
      <c r="U185" s="8"/>
      <c r="V185" s="8"/>
      <c r="W185" s="2" t="s">
        <v>1085</v>
      </c>
    </row>
    <row r="186" spans="1:23" ht="33.950000000000003" customHeight="1">
      <c r="A186" s="11" t="s">
        <v>55</v>
      </c>
      <c r="B186" s="11" t="s">
        <v>13</v>
      </c>
      <c r="C186" s="11" t="s">
        <v>1086</v>
      </c>
      <c r="D186" s="11" t="s">
        <v>1087</v>
      </c>
      <c r="E186" s="11" t="s">
        <v>155</v>
      </c>
      <c r="F186" s="11" t="s">
        <v>59</v>
      </c>
      <c r="G186" s="11" t="s">
        <v>60</v>
      </c>
      <c r="H186" s="11" t="s">
        <v>200</v>
      </c>
      <c r="I186" s="11" t="s">
        <v>682</v>
      </c>
      <c r="J186" s="11" t="s">
        <v>1088</v>
      </c>
      <c r="K186" s="11" t="s">
        <v>1089</v>
      </c>
      <c r="L186" s="12" t="s">
        <v>23</v>
      </c>
      <c r="M186" s="12" t="s">
        <v>66</v>
      </c>
      <c r="N186" s="11" t="s">
        <v>67</v>
      </c>
      <c r="O186" s="11" t="s">
        <v>68</v>
      </c>
      <c r="P186" s="11" t="s">
        <v>159</v>
      </c>
      <c r="Q186" s="11" t="s">
        <v>67</v>
      </c>
      <c r="R186" s="11" t="s">
        <v>67</v>
      </c>
      <c r="S186" s="11" t="s">
        <v>70</v>
      </c>
      <c r="T186" s="13" t="s">
        <v>67</v>
      </c>
      <c r="U186" s="8"/>
      <c r="V186" s="8"/>
      <c r="W186" s="2" t="s">
        <v>1090</v>
      </c>
    </row>
    <row r="187" spans="1:23" ht="33.950000000000003" customHeight="1">
      <c r="A187" s="11" t="s">
        <v>55</v>
      </c>
      <c r="B187" s="11" t="s">
        <v>13</v>
      </c>
      <c r="C187" s="11" t="s">
        <v>1091</v>
      </c>
      <c r="D187" s="11" t="s">
        <v>1092</v>
      </c>
      <c r="E187" s="11" t="s">
        <v>178</v>
      </c>
      <c r="F187" s="11" t="s">
        <v>59</v>
      </c>
      <c r="G187" s="11" t="s">
        <v>60</v>
      </c>
      <c r="H187" s="11" t="s">
        <v>194</v>
      </c>
      <c r="I187" s="11" t="s">
        <v>1093</v>
      </c>
      <c r="J187" s="11" t="s">
        <v>1094</v>
      </c>
      <c r="K187" s="11" t="s">
        <v>1095</v>
      </c>
      <c r="L187" s="12" t="s">
        <v>65</v>
      </c>
      <c r="M187" s="12" t="s">
        <v>66</v>
      </c>
      <c r="N187" s="11" t="s">
        <v>67</v>
      </c>
      <c r="O187" s="11" t="s">
        <v>68</v>
      </c>
      <c r="P187" s="11" t="s">
        <v>183</v>
      </c>
      <c r="Q187" s="11" t="s">
        <v>67</v>
      </c>
      <c r="R187" s="11" t="s">
        <v>67</v>
      </c>
      <c r="S187" s="11" t="s">
        <v>70</v>
      </c>
      <c r="T187" s="13" t="s">
        <v>67</v>
      </c>
      <c r="U187" s="8"/>
      <c r="V187" s="8"/>
      <c r="W187" s="2" t="s">
        <v>1096</v>
      </c>
    </row>
    <row r="188" spans="1:23" ht="36.950000000000003" customHeight="1">
      <c r="A188" s="11" t="s">
        <v>55</v>
      </c>
      <c r="B188" s="11" t="s">
        <v>13</v>
      </c>
      <c r="C188" s="11" t="s">
        <v>1097</v>
      </c>
      <c r="D188" s="11" t="s">
        <v>1098</v>
      </c>
      <c r="E188" s="11" t="s">
        <v>178</v>
      </c>
      <c r="F188" s="11" t="s">
        <v>59</v>
      </c>
      <c r="G188" s="11" t="s">
        <v>60</v>
      </c>
      <c r="H188" s="11" t="s">
        <v>200</v>
      </c>
      <c r="I188" s="11" t="s">
        <v>1099</v>
      </c>
      <c r="J188" s="11" t="s">
        <v>1100</v>
      </c>
      <c r="K188" s="11" t="s">
        <v>1101</v>
      </c>
      <c r="L188" s="12" t="s">
        <v>23</v>
      </c>
      <c r="M188" s="12" t="s">
        <v>66</v>
      </c>
      <c r="N188" s="11" t="s">
        <v>67</v>
      </c>
      <c r="O188" s="11" t="s">
        <v>68</v>
      </c>
      <c r="P188" s="11" t="s">
        <v>183</v>
      </c>
      <c r="Q188" s="11" t="s">
        <v>67</v>
      </c>
      <c r="R188" s="11" t="s">
        <v>67</v>
      </c>
      <c r="S188" s="11" t="s">
        <v>70</v>
      </c>
      <c r="T188" s="13" t="s">
        <v>67</v>
      </c>
      <c r="U188" s="22"/>
      <c r="V188" s="22"/>
    </row>
    <row r="189" spans="1:23" ht="36.950000000000003" customHeight="1">
      <c r="A189" s="11" t="s">
        <v>55</v>
      </c>
      <c r="B189" s="11" t="s">
        <v>13</v>
      </c>
      <c r="C189" s="11" t="s">
        <v>1102</v>
      </c>
      <c r="D189" s="11" t="s">
        <v>1103</v>
      </c>
      <c r="E189" s="11" t="s">
        <v>170</v>
      </c>
      <c r="F189" s="11" t="s">
        <v>59</v>
      </c>
      <c r="G189" s="11" t="s">
        <v>60</v>
      </c>
      <c r="H189" s="11" t="s">
        <v>194</v>
      </c>
      <c r="I189" s="11" t="s">
        <v>1104</v>
      </c>
      <c r="J189" s="11" t="s">
        <v>731</v>
      </c>
      <c r="K189" s="11" t="s">
        <v>732</v>
      </c>
      <c r="L189" s="12" t="s">
        <v>106</v>
      </c>
      <c r="M189" s="12" t="s">
        <v>67</v>
      </c>
      <c r="N189" s="11" t="s">
        <v>627</v>
      </c>
      <c r="O189" s="11" t="s">
        <v>68</v>
      </c>
      <c r="P189" s="11" t="s">
        <v>67</v>
      </c>
      <c r="Q189" s="11" t="s">
        <v>175</v>
      </c>
      <c r="R189" s="11" t="s">
        <v>67</v>
      </c>
      <c r="S189" s="11" t="s">
        <v>70</v>
      </c>
      <c r="T189" s="13" t="s">
        <v>67</v>
      </c>
      <c r="U189" s="22"/>
      <c r="V189" s="22"/>
    </row>
    <row r="190" spans="1:23" ht="36.950000000000003" customHeight="1">
      <c r="A190" s="11" t="s">
        <v>55</v>
      </c>
      <c r="B190" s="11" t="s">
        <v>13</v>
      </c>
      <c r="C190" s="11" t="s">
        <v>1105</v>
      </c>
      <c r="D190" s="11" t="s">
        <v>1106</v>
      </c>
      <c r="E190" s="11" t="s">
        <v>170</v>
      </c>
      <c r="F190" s="11" t="s">
        <v>59</v>
      </c>
      <c r="G190" s="11" t="s">
        <v>60</v>
      </c>
      <c r="H190" s="11" t="s">
        <v>234</v>
      </c>
      <c r="I190" s="11" t="s">
        <v>740</v>
      </c>
      <c r="J190" s="11" t="s">
        <v>741</v>
      </c>
      <c r="K190" s="11" t="s">
        <v>742</v>
      </c>
      <c r="L190" s="12" t="s">
        <v>106</v>
      </c>
      <c r="M190" s="12" t="s">
        <v>67</v>
      </c>
      <c r="N190" s="11" t="s">
        <v>627</v>
      </c>
      <c r="O190" s="11" t="s">
        <v>68</v>
      </c>
      <c r="P190" s="11" t="s">
        <v>67</v>
      </c>
      <c r="Q190" s="11" t="s">
        <v>175</v>
      </c>
      <c r="R190" s="11" t="s">
        <v>67</v>
      </c>
      <c r="S190" s="11" t="s">
        <v>70</v>
      </c>
      <c r="T190" s="13" t="s">
        <v>67</v>
      </c>
      <c r="U190" s="22"/>
      <c r="V190" s="22"/>
    </row>
    <row r="191" spans="1:23" ht="36.950000000000003" customHeight="1">
      <c r="A191" s="11" t="s">
        <v>55</v>
      </c>
      <c r="B191" s="11" t="s">
        <v>13</v>
      </c>
      <c r="C191" s="11" t="s">
        <v>1107</v>
      </c>
      <c r="D191" s="11" t="s">
        <v>1108</v>
      </c>
      <c r="E191" s="11" t="s">
        <v>186</v>
      </c>
      <c r="F191" s="11" t="s">
        <v>59</v>
      </c>
      <c r="G191" s="11" t="s">
        <v>60</v>
      </c>
      <c r="H191" s="11" t="s">
        <v>194</v>
      </c>
      <c r="I191" s="11" t="s">
        <v>1109</v>
      </c>
      <c r="J191" s="11" t="s">
        <v>788</v>
      </c>
      <c r="K191" s="11" t="s">
        <v>789</v>
      </c>
      <c r="L191" s="12" t="s">
        <v>106</v>
      </c>
      <c r="M191" s="12" t="s">
        <v>67</v>
      </c>
      <c r="N191" s="11" t="s">
        <v>1110</v>
      </c>
      <c r="O191" s="11" t="s">
        <v>68</v>
      </c>
      <c r="P191" s="11" t="s">
        <v>191</v>
      </c>
      <c r="Q191" s="11" t="s">
        <v>67</v>
      </c>
      <c r="R191" s="11" t="s">
        <v>67</v>
      </c>
      <c r="S191" s="11" t="s">
        <v>70</v>
      </c>
      <c r="T191" s="13" t="s">
        <v>67</v>
      </c>
      <c r="U191" s="22"/>
      <c r="V191" s="22"/>
    </row>
    <row r="192" spans="1:23" ht="36.950000000000003" customHeight="1">
      <c r="A192" s="11" t="s">
        <v>55</v>
      </c>
      <c r="B192" s="11" t="s">
        <v>13</v>
      </c>
      <c r="C192" s="11" t="s">
        <v>1111</v>
      </c>
      <c r="D192" s="11" t="s">
        <v>1112</v>
      </c>
      <c r="E192" s="11" t="s">
        <v>186</v>
      </c>
      <c r="F192" s="11" t="s">
        <v>59</v>
      </c>
      <c r="G192" s="11" t="s">
        <v>60</v>
      </c>
      <c r="H192" s="11" t="s">
        <v>200</v>
      </c>
      <c r="I192" s="11" t="s">
        <v>793</v>
      </c>
      <c r="J192" s="11" t="s">
        <v>794</v>
      </c>
      <c r="K192" s="11" t="s">
        <v>795</v>
      </c>
      <c r="L192" s="12" t="s">
        <v>106</v>
      </c>
      <c r="M192" s="12" t="s">
        <v>67</v>
      </c>
      <c r="N192" s="11" t="s">
        <v>1113</v>
      </c>
      <c r="O192" s="11" t="s">
        <v>68</v>
      </c>
      <c r="P192" s="11" t="s">
        <v>191</v>
      </c>
      <c r="Q192" s="11" t="s">
        <v>67</v>
      </c>
      <c r="R192" s="11" t="s">
        <v>67</v>
      </c>
      <c r="S192" s="11" t="s">
        <v>70</v>
      </c>
      <c r="T192" s="13" t="s">
        <v>67</v>
      </c>
      <c r="U192" s="22"/>
      <c r="V192" s="22"/>
    </row>
    <row r="193" spans="1:22" ht="36.950000000000003" customHeight="1">
      <c r="A193" s="19" t="s">
        <v>55</v>
      </c>
      <c r="B193" s="19" t="s">
        <v>13</v>
      </c>
      <c r="C193" s="11" t="s">
        <v>1114</v>
      </c>
      <c r="D193" s="11" t="s">
        <v>1115</v>
      </c>
      <c r="E193" s="19" t="s">
        <v>1116</v>
      </c>
      <c r="F193" s="19" t="s">
        <v>59</v>
      </c>
      <c r="G193" s="19" t="s">
        <v>60</v>
      </c>
      <c r="H193" s="19" t="s">
        <v>194</v>
      </c>
      <c r="I193" s="19" t="s">
        <v>1117</v>
      </c>
      <c r="J193" s="19" t="s">
        <v>1118</v>
      </c>
      <c r="K193" s="19" t="s">
        <v>1119</v>
      </c>
      <c r="L193" s="12" t="s">
        <v>65</v>
      </c>
      <c r="M193" s="12" t="s">
        <v>66</v>
      </c>
      <c r="N193" s="19" t="s">
        <v>67</v>
      </c>
      <c r="O193" s="19" t="s">
        <v>68</v>
      </c>
      <c r="P193" s="19" t="s">
        <v>67</v>
      </c>
      <c r="Q193" s="19" t="s">
        <v>67</v>
      </c>
      <c r="R193" s="19" t="s">
        <v>67</v>
      </c>
      <c r="S193" s="19" t="s">
        <v>67</v>
      </c>
      <c r="T193" s="20" t="s">
        <v>67</v>
      </c>
      <c r="U193" s="22"/>
      <c r="V193" s="22"/>
    </row>
    <row r="194" spans="1:22" ht="36.950000000000003" customHeight="1">
      <c r="A194" s="19" t="s">
        <v>55</v>
      </c>
      <c r="B194" s="19" t="s">
        <v>13</v>
      </c>
      <c r="C194" s="11" t="s">
        <v>1120</v>
      </c>
      <c r="D194" s="11" t="s">
        <v>1121</v>
      </c>
      <c r="E194" s="19" t="s">
        <v>1116</v>
      </c>
      <c r="F194" s="19" t="s">
        <v>59</v>
      </c>
      <c r="G194" s="19" t="s">
        <v>60</v>
      </c>
      <c r="H194" s="19" t="s">
        <v>234</v>
      </c>
      <c r="I194" s="19" t="s">
        <v>1122</v>
      </c>
      <c r="J194" s="19" t="s">
        <v>1123</v>
      </c>
      <c r="K194" s="19" t="s">
        <v>1124</v>
      </c>
      <c r="L194" s="12" t="s">
        <v>23</v>
      </c>
      <c r="M194" s="12" t="s">
        <v>66</v>
      </c>
      <c r="N194" s="19" t="s">
        <v>67</v>
      </c>
      <c r="O194" s="19" t="s">
        <v>68</v>
      </c>
      <c r="P194" s="19" t="s">
        <v>67</v>
      </c>
      <c r="Q194" s="19" t="s">
        <v>1125</v>
      </c>
      <c r="R194" s="19" t="s">
        <v>67</v>
      </c>
      <c r="S194" s="19" t="s">
        <v>67</v>
      </c>
      <c r="T194" s="21" t="s">
        <v>67</v>
      </c>
      <c r="U194" s="22"/>
      <c r="V194" s="22"/>
    </row>
  </sheetData>
  <autoFilter ref="W1" xr:uid="{00000000-0001-0000-0100-000000000000}"/>
  <conditionalFormatting sqref="U2:V194">
    <cfRule type="expression" dxfId="1" priority="1">
      <formula>$K2="NEEDS DISCUSSION"</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85"/>
  <sheetViews>
    <sheetView showGridLines="0" tabSelected="1" topLeftCell="B1" workbookViewId="0">
      <selection activeCell="G162" sqref="G162"/>
    </sheetView>
  </sheetViews>
  <sheetFormatPr defaultRowHeight="33" customHeight="1"/>
  <cols>
    <col min="1" max="1" width="14" customWidth="1"/>
    <col min="2" max="2" width="13" customWidth="1"/>
    <col min="3" max="3" width="16" customWidth="1"/>
    <col min="4" max="4" width="27" customWidth="1"/>
    <col min="5" max="5" width="32" customWidth="1"/>
    <col min="6" max="6" width="14" customWidth="1"/>
    <col min="7" max="7" width="13" customWidth="1"/>
    <col min="8" max="8" width="18" customWidth="1"/>
    <col min="9" max="9" width="48" customWidth="1"/>
    <col min="10" max="10" width="72" customWidth="1"/>
    <col min="11" max="11" width="39.75" customWidth="1"/>
    <col min="12" max="12" width="18.5" customWidth="1"/>
    <col min="13" max="13" width="17" customWidth="1"/>
    <col min="14" max="14" width="20" customWidth="1"/>
    <col min="15" max="15" width="36" customWidth="1"/>
    <col min="16" max="16" width="12" customWidth="1"/>
    <col min="17" max="17" width="24" customWidth="1"/>
    <col min="18" max="18" width="46" customWidth="1"/>
    <col min="19" max="19" width="34" customWidth="1"/>
    <col min="20" max="20" width="44" customWidth="1"/>
    <col min="21" max="21" width="20" customWidth="1"/>
    <col min="22" max="22" width="28" customWidth="1"/>
    <col min="23" max="23" width="48" customWidth="1"/>
  </cols>
  <sheetData>
    <row r="1" spans="1:24" ht="36.950000000000003" customHeight="1">
      <c r="A1" s="9" t="s">
        <v>33</v>
      </c>
      <c r="B1" s="9" t="s">
        <v>2</v>
      </c>
      <c r="C1" s="9" t="s">
        <v>34</v>
      </c>
      <c r="D1" s="9" t="s">
        <v>35</v>
      </c>
      <c r="E1" s="9" t="s">
        <v>36</v>
      </c>
      <c r="F1" s="9" t="s">
        <v>37</v>
      </c>
      <c r="G1" s="9" t="s">
        <v>38</v>
      </c>
      <c r="H1" s="9" t="s">
        <v>39</v>
      </c>
      <c r="I1" s="9" t="s">
        <v>40</v>
      </c>
      <c r="J1" s="9" t="s">
        <v>41</v>
      </c>
      <c r="K1" s="9" t="s">
        <v>42</v>
      </c>
      <c r="L1" s="9" t="s">
        <v>43</v>
      </c>
      <c r="M1" s="9" t="s">
        <v>44</v>
      </c>
      <c r="N1" s="9" t="s">
        <v>45</v>
      </c>
      <c r="O1" s="9" t="s">
        <v>46</v>
      </c>
      <c r="P1" s="9" t="s">
        <v>47</v>
      </c>
      <c r="Q1" s="9" t="s">
        <v>48</v>
      </c>
      <c r="R1" s="9" t="s">
        <v>49</v>
      </c>
      <c r="S1" s="9" t="s">
        <v>50</v>
      </c>
      <c r="T1" s="9" t="s">
        <v>1126</v>
      </c>
      <c r="U1" s="9" t="s">
        <v>1127</v>
      </c>
      <c r="V1" s="9" t="s">
        <v>1128</v>
      </c>
      <c r="W1" s="9" t="s">
        <v>52</v>
      </c>
      <c r="X1" s="10" t="s">
        <v>51</v>
      </c>
    </row>
    <row r="2" spans="1:24" ht="75.95" customHeight="1">
      <c r="A2" s="11" t="s">
        <v>55</v>
      </c>
      <c r="B2" s="11" t="s">
        <v>15</v>
      </c>
      <c r="C2" s="11" t="s">
        <v>1129</v>
      </c>
      <c r="D2" s="11" t="s">
        <v>1130</v>
      </c>
      <c r="E2" s="11" t="s">
        <v>1131</v>
      </c>
      <c r="F2" s="11" t="s">
        <v>59</v>
      </c>
      <c r="G2" s="11" t="s">
        <v>60</v>
      </c>
      <c r="H2" s="11" t="s">
        <v>194</v>
      </c>
      <c r="I2" s="11" t="s">
        <v>1132</v>
      </c>
      <c r="J2" s="11" t="s">
        <v>1133</v>
      </c>
      <c r="K2" s="11" t="s">
        <v>1134</v>
      </c>
      <c r="L2" s="12" t="s">
        <v>65</v>
      </c>
      <c r="M2" s="12" t="s">
        <v>66</v>
      </c>
      <c r="N2" s="11" t="s">
        <v>67</v>
      </c>
      <c r="O2" s="11" t="s">
        <v>68</v>
      </c>
      <c r="P2" s="11" t="s">
        <v>67</v>
      </c>
      <c r="Q2" s="11" t="s">
        <v>1135</v>
      </c>
      <c r="R2" s="11" t="s">
        <v>67</v>
      </c>
      <c r="S2" s="11" t="s">
        <v>1136</v>
      </c>
      <c r="T2" s="11" t="s">
        <v>1137</v>
      </c>
      <c r="U2" s="11" t="s">
        <v>1138</v>
      </c>
      <c r="V2" s="11" t="s">
        <v>1139</v>
      </c>
      <c r="W2" s="23" t="s">
        <v>67</v>
      </c>
      <c r="X2" s="13" t="s">
        <v>67</v>
      </c>
    </row>
    <row r="3" spans="1:24" ht="62.1" customHeight="1">
      <c r="A3" s="11" t="s">
        <v>55</v>
      </c>
      <c r="B3" s="11" t="s">
        <v>15</v>
      </c>
      <c r="C3" s="11" t="s">
        <v>1140</v>
      </c>
      <c r="D3" s="11" t="s">
        <v>1141</v>
      </c>
      <c r="E3" s="11" t="s">
        <v>1142</v>
      </c>
      <c r="F3" s="11" t="s">
        <v>59</v>
      </c>
      <c r="G3" s="11" t="s">
        <v>60</v>
      </c>
      <c r="H3" s="11" t="s">
        <v>194</v>
      </c>
      <c r="I3" s="11" t="s">
        <v>1143</v>
      </c>
      <c r="J3" s="11" t="s">
        <v>1144</v>
      </c>
      <c r="K3" s="11" t="s">
        <v>1145</v>
      </c>
      <c r="L3" s="12" t="s">
        <v>65</v>
      </c>
      <c r="M3" s="12" t="s">
        <v>66</v>
      </c>
      <c r="N3" s="11" t="s">
        <v>67</v>
      </c>
      <c r="O3" s="11" t="s">
        <v>68</v>
      </c>
      <c r="P3" s="11" t="s">
        <v>1146</v>
      </c>
      <c r="Q3" s="11" t="s">
        <v>67</v>
      </c>
      <c r="R3" s="11" t="s">
        <v>67</v>
      </c>
      <c r="S3" s="11" t="s">
        <v>1136</v>
      </c>
      <c r="T3" s="11" t="s">
        <v>1147</v>
      </c>
      <c r="U3" s="11" t="s">
        <v>1138</v>
      </c>
      <c r="V3" s="11" t="s">
        <v>1148</v>
      </c>
      <c r="W3" s="23" t="s">
        <v>67</v>
      </c>
      <c r="X3" s="13" t="s">
        <v>67</v>
      </c>
    </row>
    <row r="4" spans="1:24" ht="62.1" customHeight="1">
      <c r="A4" s="11" t="s">
        <v>55</v>
      </c>
      <c r="B4" s="11" t="s">
        <v>15</v>
      </c>
      <c r="C4" s="11" t="s">
        <v>1149</v>
      </c>
      <c r="D4" s="11" t="s">
        <v>1150</v>
      </c>
      <c r="E4" s="11" t="s">
        <v>1142</v>
      </c>
      <c r="F4" s="11" t="s">
        <v>59</v>
      </c>
      <c r="G4" s="11" t="s">
        <v>60</v>
      </c>
      <c r="H4" s="11" t="s">
        <v>200</v>
      </c>
      <c r="I4" s="11" t="s">
        <v>1151</v>
      </c>
      <c r="J4" s="11" t="s">
        <v>1152</v>
      </c>
      <c r="K4" s="11" t="s">
        <v>1153</v>
      </c>
      <c r="L4" s="12" t="s">
        <v>23</v>
      </c>
      <c r="M4" s="12" t="s">
        <v>66</v>
      </c>
      <c r="N4" s="11" t="s">
        <v>67</v>
      </c>
      <c r="O4" s="11" t="s">
        <v>68</v>
      </c>
      <c r="P4" s="11" t="s">
        <v>1146</v>
      </c>
      <c r="Q4" s="11" t="s">
        <v>67</v>
      </c>
      <c r="R4" s="11" t="s">
        <v>67</v>
      </c>
      <c r="S4" s="11" t="s">
        <v>1136</v>
      </c>
      <c r="T4" s="11" t="s">
        <v>1147</v>
      </c>
      <c r="U4" s="11" t="s">
        <v>1138</v>
      </c>
      <c r="V4" s="11" t="s">
        <v>1148</v>
      </c>
      <c r="W4" s="23" t="s">
        <v>67</v>
      </c>
      <c r="X4" s="13" t="s">
        <v>67</v>
      </c>
    </row>
    <row r="5" spans="1:24" ht="48" customHeight="1">
      <c r="A5" s="11" t="s">
        <v>55</v>
      </c>
      <c r="B5" s="11" t="s">
        <v>15</v>
      </c>
      <c r="C5" s="11" t="s">
        <v>1154</v>
      </c>
      <c r="D5" s="11" t="s">
        <v>1155</v>
      </c>
      <c r="E5" s="11" t="s">
        <v>1156</v>
      </c>
      <c r="F5" s="11" t="s">
        <v>59</v>
      </c>
      <c r="G5" s="11" t="s">
        <v>60</v>
      </c>
      <c r="H5" s="11" t="s">
        <v>194</v>
      </c>
      <c r="I5" s="11" t="s">
        <v>1157</v>
      </c>
      <c r="J5" s="11" t="s">
        <v>1158</v>
      </c>
      <c r="K5" s="11" t="s">
        <v>1159</v>
      </c>
      <c r="L5" s="12" t="s">
        <v>65</v>
      </c>
      <c r="M5" s="12" t="s">
        <v>66</v>
      </c>
      <c r="N5" s="11" t="s">
        <v>67</v>
      </c>
      <c r="O5" s="11" t="s">
        <v>68</v>
      </c>
      <c r="P5" s="11" t="s">
        <v>1160</v>
      </c>
      <c r="Q5" s="11" t="s">
        <v>67</v>
      </c>
      <c r="R5" s="11" t="s">
        <v>67</v>
      </c>
      <c r="S5" s="11" t="s">
        <v>1161</v>
      </c>
      <c r="T5" s="11" t="s">
        <v>1162</v>
      </c>
      <c r="U5" s="11" t="s">
        <v>1163</v>
      </c>
      <c r="V5" s="11" t="s">
        <v>1164</v>
      </c>
      <c r="W5" s="23" t="s">
        <v>67</v>
      </c>
      <c r="X5" s="13" t="s">
        <v>67</v>
      </c>
    </row>
    <row r="6" spans="1:24" ht="48" customHeight="1">
      <c r="A6" s="11" t="s">
        <v>55</v>
      </c>
      <c r="B6" s="11" t="s">
        <v>15</v>
      </c>
      <c r="C6" s="11" t="s">
        <v>1165</v>
      </c>
      <c r="D6" s="11" t="s">
        <v>1166</v>
      </c>
      <c r="E6" s="11" t="s">
        <v>1156</v>
      </c>
      <c r="F6" s="11" t="s">
        <v>59</v>
      </c>
      <c r="G6" s="11" t="s">
        <v>60</v>
      </c>
      <c r="H6" s="11" t="s">
        <v>207</v>
      </c>
      <c r="I6" s="11" t="s">
        <v>1167</v>
      </c>
      <c r="J6" s="11" t="s">
        <v>1168</v>
      </c>
      <c r="K6" s="11" t="s">
        <v>1159</v>
      </c>
      <c r="L6" s="12" t="s">
        <v>65</v>
      </c>
      <c r="M6" s="12" t="s">
        <v>66</v>
      </c>
      <c r="N6" s="11" t="s">
        <v>67</v>
      </c>
      <c r="O6" s="11" t="s">
        <v>68</v>
      </c>
      <c r="P6" s="11" t="s">
        <v>1160</v>
      </c>
      <c r="Q6" s="11" t="s">
        <v>67</v>
      </c>
      <c r="R6" s="11" t="s">
        <v>67</v>
      </c>
      <c r="S6" s="11" t="s">
        <v>1161</v>
      </c>
      <c r="T6" s="11" t="s">
        <v>1162</v>
      </c>
      <c r="U6" s="11" t="s">
        <v>1163</v>
      </c>
      <c r="V6" s="11" t="s">
        <v>1164</v>
      </c>
      <c r="W6" s="23" t="s">
        <v>67</v>
      </c>
      <c r="X6" s="13" t="s">
        <v>67</v>
      </c>
    </row>
    <row r="7" spans="1:24" ht="62.1" customHeight="1">
      <c r="A7" s="11" t="s">
        <v>55</v>
      </c>
      <c r="B7" s="11" t="s">
        <v>15</v>
      </c>
      <c r="C7" s="11" t="s">
        <v>1169</v>
      </c>
      <c r="D7" s="11" t="s">
        <v>1170</v>
      </c>
      <c r="E7" s="11" t="s">
        <v>1171</v>
      </c>
      <c r="F7" s="11" t="s">
        <v>59</v>
      </c>
      <c r="G7" s="11" t="s">
        <v>60</v>
      </c>
      <c r="H7" s="11" t="s">
        <v>194</v>
      </c>
      <c r="I7" s="11" t="s">
        <v>1172</v>
      </c>
      <c r="J7" s="11" t="s">
        <v>1173</v>
      </c>
      <c r="K7" s="11" t="s">
        <v>1174</v>
      </c>
      <c r="L7" s="12" t="s">
        <v>65</v>
      </c>
      <c r="M7" s="12" t="s">
        <v>66</v>
      </c>
      <c r="N7" s="11" t="s">
        <v>67</v>
      </c>
      <c r="O7" s="11" t="s">
        <v>68</v>
      </c>
      <c r="P7" s="11" t="s">
        <v>1146</v>
      </c>
      <c r="Q7" s="11" t="s">
        <v>67</v>
      </c>
      <c r="R7" s="11" t="s">
        <v>67</v>
      </c>
      <c r="S7" s="11" t="s">
        <v>1136</v>
      </c>
      <c r="T7" s="11" t="s">
        <v>1175</v>
      </c>
      <c r="U7" s="11" t="s">
        <v>1138</v>
      </c>
      <c r="V7" s="11" t="s">
        <v>1176</v>
      </c>
      <c r="W7" s="23" t="s">
        <v>67</v>
      </c>
      <c r="X7" s="13" t="s">
        <v>67</v>
      </c>
    </row>
    <row r="8" spans="1:24" ht="62.1" customHeight="1">
      <c r="A8" s="11" t="s">
        <v>55</v>
      </c>
      <c r="B8" s="11" t="s">
        <v>15</v>
      </c>
      <c r="C8" s="11" t="s">
        <v>1177</v>
      </c>
      <c r="D8" s="11" t="s">
        <v>1178</v>
      </c>
      <c r="E8" s="11" t="s">
        <v>1171</v>
      </c>
      <c r="F8" s="11" t="s">
        <v>59</v>
      </c>
      <c r="G8" s="11" t="s">
        <v>60</v>
      </c>
      <c r="H8" s="11" t="s">
        <v>200</v>
      </c>
      <c r="I8" s="11" t="s">
        <v>1179</v>
      </c>
      <c r="J8" s="11" t="s">
        <v>1180</v>
      </c>
      <c r="K8" s="11" t="s">
        <v>1181</v>
      </c>
      <c r="L8" s="12" t="s">
        <v>23</v>
      </c>
      <c r="M8" s="12" t="s">
        <v>66</v>
      </c>
      <c r="N8" s="11" t="s">
        <v>67</v>
      </c>
      <c r="O8" s="11" t="s">
        <v>68</v>
      </c>
      <c r="P8" s="11" t="s">
        <v>1146</v>
      </c>
      <c r="Q8" s="11" t="s">
        <v>67</v>
      </c>
      <c r="R8" s="11" t="s">
        <v>67</v>
      </c>
      <c r="S8" s="11" t="s">
        <v>1136</v>
      </c>
      <c r="T8" s="11" t="s">
        <v>1175</v>
      </c>
      <c r="U8" s="11" t="s">
        <v>1138</v>
      </c>
      <c r="V8" s="11" t="s">
        <v>1176</v>
      </c>
      <c r="W8" s="23" t="s">
        <v>67</v>
      </c>
      <c r="X8" s="13" t="s">
        <v>67</v>
      </c>
    </row>
    <row r="9" spans="1:24" ht="117.95" customHeight="1">
      <c r="A9" s="11" t="s">
        <v>55</v>
      </c>
      <c r="B9" s="11" t="s">
        <v>15</v>
      </c>
      <c r="C9" s="11" t="s">
        <v>1182</v>
      </c>
      <c r="D9" s="11" t="s">
        <v>1183</v>
      </c>
      <c r="E9" s="11" t="s">
        <v>1184</v>
      </c>
      <c r="F9" s="11" t="s">
        <v>59</v>
      </c>
      <c r="G9" s="11" t="s">
        <v>60</v>
      </c>
      <c r="H9" s="11" t="s">
        <v>194</v>
      </c>
      <c r="I9" s="11" t="s">
        <v>1185</v>
      </c>
      <c r="J9" s="11" t="s">
        <v>1186</v>
      </c>
      <c r="K9" s="11" t="s">
        <v>1187</v>
      </c>
      <c r="L9" s="12" t="s">
        <v>65</v>
      </c>
      <c r="M9" s="12" t="s">
        <v>66</v>
      </c>
      <c r="N9" s="11" t="s">
        <v>67</v>
      </c>
      <c r="O9" s="11" t="s">
        <v>68</v>
      </c>
      <c r="P9" s="11" t="s">
        <v>1146</v>
      </c>
      <c r="Q9" s="11" t="s">
        <v>67</v>
      </c>
      <c r="R9" s="11" t="s">
        <v>67</v>
      </c>
      <c r="S9" s="11" t="s">
        <v>1136</v>
      </c>
      <c r="T9" s="11" t="s">
        <v>1188</v>
      </c>
      <c r="U9" s="11" t="s">
        <v>1138</v>
      </c>
      <c r="V9" s="11" t="s">
        <v>1189</v>
      </c>
      <c r="W9" s="23" t="s">
        <v>67</v>
      </c>
      <c r="X9" s="13" t="s">
        <v>67</v>
      </c>
    </row>
    <row r="10" spans="1:24" ht="117.95" customHeight="1">
      <c r="A10" s="11" t="s">
        <v>55</v>
      </c>
      <c r="B10" s="11" t="s">
        <v>15</v>
      </c>
      <c r="C10" s="11" t="s">
        <v>1190</v>
      </c>
      <c r="D10" s="11" t="s">
        <v>1191</v>
      </c>
      <c r="E10" s="11" t="s">
        <v>1184</v>
      </c>
      <c r="F10" s="11" t="s">
        <v>59</v>
      </c>
      <c r="G10" s="11" t="s">
        <v>60</v>
      </c>
      <c r="H10" s="11" t="s">
        <v>200</v>
      </c>
      <c r="I10" s="11" t="s">
        <v>1192</v>
      </c>
      <c r="J10" s="11" t="s">
        <v>1193</v>
      </c>
      <c r="K10" s="11" t="s">
        <v>1194</v>
      </c>
      <c r="L10" s="12" t="s">
        <v>23</v>
      </c>
      <c r="M10" s="12" t="s">
        <v>66</v>
      </c>
      <c r="N10" s="11" t="s">
        <v>67</v>
      </c>
      <c r="O10" s="11" t="s">
        <v>68</v>
      </c>
      <c r="P10" s="11" t="s">
        <v>1146</v>
      </c>
      <c r="Q10" s="11" t="s">
        <v>67</v>
      </c>
      <c r="R10" s="11" t="s">
        <v>67</v>
      </c>
      <c r="S10" s="11" t="s">
        <v>1136</v>
      </c>
      <c r="T10" s="11" t="s">
        <v>1188</v>
      </c>
      <c r="U10" s="11" t="s">
        <v>1138</v>
      </c>
      <c r="V10" s="11" t="s">
        <v>1189</v>
      </c>
      <c r="W10" s="23" t="s">
        <v>67</v>
      </c>
      <c r="X10" s="13" t="s">
        <v>67</v>
      </c>
    </row>
    <row r="11" spans="1:24" ht="90" customHeight="1">
      <c r="A11" s="11" t="s">
        <v>55</v>
      </c>
      <c r="B11" s="11" t="s">
        <v>15</v>
      </c>
      <c r="C11" s="11" t="s">
        <v>1195</v>
      </c>
      <c r="D11" s="11" t="s">
        <v>1196</v>
      </c>
      <c r="E11" s="11" t="s">
        <v>1197</v>
      </c>
      <c r="F11" s="11" t="s">
        <v>59</v>
      </c>
      <c r="G11" s="11" t="s">
        <v>60</v>
      </c>
      <c r="H11" s="11" t="s">
        <v>194</v>
      </c>
      <c r="I11" s="11" t="s">
        <v>1198</v>
      </c>
      <c r="J11" s="11" t="s">
        <v>1199</v>
      </c>
      <c r="K11" s="11" t="s">
        <v>1200</v>
      </c>
      <c r="L11" s="12" t="s">
        <v>65</v>
      </c>
      <c r="M11" s="12" t="s">
        <v>66</v>
      </c>
      <c r="N11" s="11" t="s">
        <v>67</v>
      </c>
      <c r="O11" s="11" t="s">
        <v>68</v>
      </c>
      <c r="P11" s="11" t="s">
        <v>1146</v>
      </c>
      <c r="Q11" s="11" t="s">
        <v>67</v>
      </c>
      <c r="R11" s="11" t="s">
        <v>67</v>
      </c>
      <c r="S11" s="11" t="s">
        <v>1136</v>
      </c>
      <c r="T11" s="11" t="s">
        <v>1201</v>
      </c>
      <c r="U11" s="11" t="s">
        <v>1138</v>
      </c>
      <c r="V11" s="11" t="s">
        <v>1202</v>
      </c>
      <c r="W11" s="23" t="s">
        <v>67</v>
      </c>
      <c r="X11" s="13" t="s">
        <v>67</v>
      </c>
    </row>
    <row r="12" spans="1:24" ht="90" customHeight="1">
      <c r="A12" s="11" t="s">
        <v>55</v>
      </c>
      <c r="B12" s="11" t="s">
        <v>15</v>
      </c>
      <c r="C12" s="11" t="s">
        <v>1203</v>
      </c>
      <c r="D12" s="11" t="s">
        <v>1204</v>
      </c>
      <c r="E12" s="11" t="s">
        <v>1197</v>
      </c>
      <c r="F12" s="11" t="s">
        <v>59</v>
      </c>
      <c r="G12" s="11" t="s">
        <v>60</v>
      </c>
      <c r="H12" s="11" t="s">
        <v>200</v>
      </c>
      <c r="I12" s="11" t="s">
        <v>1205</v>
      </c>
      <c r="J12" s="11" t="s">
        <v>1206</v>
      </c>
      <c r="K12" s="11" t="s">
        <v>1207</v>
      </c>
      <c r="L12" s="12" t="s">
        <v>23</v>
      </c>
      <c r="M12" s="12" t="s">
        <v>66</v>
      </c>
      <c r="N12" s="11" t="s">
        <v>67</v>
      </c>
      <c r="O12" s="11" t="s">
        <v>68</v>
      </c>
      <c r="P12" s="11" t="s">
        <v>1146</v>
      </c>
      <c r="Q12" s="11" t="s">
        <v>67</v>
      </c>
      <c r="R12" s="11" t="s">
        <v>67</v>
      </c>
      <c r="S12" s="11" t="s">
        <v>1136</v>
      </c>
      <c r="T12" s="11" t="s">
        <v>1201</v>
      </c>
      <c r="U12" s="11" t="s">
        <v>1138</v>
      </c>
      <c r="V12" s="11" t="s">
        <v>1202</v>
      </c>
      <c r="W12" s="23" t="s">
        <v>67</v>
      </c>
      <c r="X12" s="13" t="s">
        <v>67</v>
      </c>
    </row>
    <row r="13" spans="1:24" ht="104.1" customHeight="1">
      <c r="A13" s="11" t="s">
        <v>55</v>
      </c>
      <c r="B13" s="11" t="s">
        <v>15</v>
      </c>
      <c r="C13" s="11" t="s">
        <v>1208</v>
      </c>
      <c r="D13" s="11" t="s">
        <v>1209</v>
      </c>
      <c r="E13" s="11" t="s">
        <v>1210</v>
      </c>
      <c r="F13" s="11" t="s">
        <v>59</v>
      </c>
      <c r="G13" s="11" t="s">
        <v>60</v>
      </c>
      <c r="H13" s="11" t="s">
        <v>194</v>
      </c>
      <c r="I13" s="11" t="s">
        <v>1211</v>
      </c>
      <c r="J13" s="11" t="s">
        <v>1212</v>
      </c>
      <c r="K13" s="11" t="s">
        <v>1213</v>
      </c>
      <c r="L13" s="12" t="s">
        <v>65</v>
      </c>
      <c r="M13" s="12" t="s">
        <v>66</v>
      </c>
      <c r="N13" s="11" t="s">
        <v>67</v>
      </c>
      <c r="O13" s="11" t="s">
        <v>68</v>
      </c>
      <c r="P13" s="11" t="s">
        <v>1146</v>
      </c>
      <c r="Q13" s="11" t="s">
        <v>67</v>
      </c>
      <c r="R13" s="11" t="s">
        <v>67</v>
      </c>
      <c r="S13" s="11" t="s">
        <v>1136</v>
      </c>
      <c r="T13" s="11" t="s">
        <v>1214</v>
      </c>
      <c r="U13" s="11" t="s">
        <v>1138</v>
      </c>
      <c r="V13" s="11" t="s">
        <v>1215</v>
      </c>
      <c r="W13" s="23" t="s">
        <v>67</v>
      </c>
      <c r="X13" s="13" t="s">
        <v>67</v>
      </c>
    </row>
    <row r="14" spans="1:24" ht="104.1" customHeight="1">
      <c r="A14" s="11" t="s">
        <v>55</v>
      </c>
      <c r="B14" s="11" t="s">
        <v>15</v>
      </c>
      <c r="C14" s="11" t="s">
        <v>1216</v>
      </c>
      <c r="D14" s="11" t="s">
        <v>1217</v>
      </c>
      <c r="E14" s="11" t="s">
        <v>1210</v>
      </c>
      <c r="F14" s="11" t="s">
        <v>59</v>
      </c>
      <c r="G14" s="11" t="s">
        <v>60</v>
      </c>
      <c r="H14" s="11" t="s">
        <v>200</v>
      </c>
      <c r="I14" s="11" t="s">
        <v>1218</v>
      </c>
      <c r="J14" s="11" t="s">
        <v>1219</v>
      </c>
      <c r="K14" s="11" t="s">
        <v>1220</v>
      </c>
      <c r="L14" s="12" t="s">
        <v>23</v>
      </c>
      <c r="M14" s="12" t="s">
        <v>66</v>
      </c>
      <c r="N14" s="11" t="s">
        <v>67</v>
      </c>
      <c r="O14" s="11" t="s">
        <v>68</v>
      </c>
      <c r="P14" s="11" t="s">
        <v>1146</v>
      </c>
      <c r="Q14" s="11" t="s">
        <v>67</v>
      </c>
      <c r="R14" s="11" t="s">
        <v>67</v>
      </c>
      <c r="S14" s="11" t="s">
        <v>1136</v>
      </c>
      <c r="T14" s="11" t="s">
        <v>1214</v>
      </c>
      <c r="U14" s="11" t="s">
        <v>1138</v>
      </c>
      <c r="V14" s="11" t="s">
        <v>1215</v>
      </c>
      <c r="W14" s="23" t="s">
        <v>67</v>
      </c>
      <c r="X14" s="13" t="s">
        <v>67</v>
      </c>
    </row>
    <row r="15" spans="1:24" ht="300" customHeight="1">
      <c r="A15" s="11" t="s">
        <v>55</v>
      </c>
      <c r="B15" s="11" t="s">
        <v>15</v>
      </c>
      <c r="C15" s="11" t="s">
        <v>1221</v>
      </c>
      <c r="D15" s="11" t="s">
        <v>1222</v>
      </c>
      <c r="E15" s="11" t="s">
        <v>1223</v>
      </c>
      <c r="F15" s="11" t="s">
        <v>59</v>
      </c>
      <c r="G15" s="11" t="s">
        <v>60</v>
      </c>
      <c r="H15" s="11" t="s">
        <v>61</v>
      </c>
      <c r="I15" s="11" t="s">
        <v>1224</v>
      </c>
      <c r="J15" s="11" t="s">
        <v>1225</v>
      </c>
      <c r="K15" s="11" t="s">
        <v>1226</v>
      </c>
      <c r="L15" s="12" t="s">
        <v>65</v>
      </c>
      <c r="M15" s="12" t="s">
        <v>66</v>
      </c>
      <c r="N15" s="11" t="s">
        <v>67</v>
      </c>
      <c r="O15" s="11" t="s">
        <v>92</v>
      </c>
      <c r="P15" s="11" t="s">
        <v>67</v>
      </c>
      <c r="Q15" s="11" t="s">
        <v>343</v>
      </c>
      <c r="R15" s="11" t="s">
        <v>67</v>
      </c>
      <c r="S15" s="11" t="s">
        <v>1136</v>
      </c>
      <c r="T15" s="11" t="s">
        <v>1227</v>
      </c>
      <c r="U15" s="11" t="s">
        <v>1138</v>
      </c>
      <c r="V15" s="11" t="s">
        <v>1228</v>
      </c>
      <c r="W15" s="23" t="s">
        <v>67</v>
      </c>
      <c r="X15" s="13" t="s">
        <v>67</v>
      </c>
    </row>
    <row r="16" spans="1:24" ht="74.25" customHeight="1">
      <c r="A16" s="11" t="s">
        <v>55</v>
      </c>
      <c r="B16" s="11" t="s">
        <v>15</v>
      </c>
      <c r="C16" s="11" t="s">
        <v>1229</v>
      </c>
      <c r="D16" s="11" t="s">
        <v>1230</v>
      </c>
      <c r="E16" s="11" t="s">
        <v>1223</v>
      </c>
      <c r="F16" s="11" t="s">
        <v>59</v>
      </c>
      <c r="G16" s="11" t="s">
        <v>60</v>
      </c>
      <c r="H16" s="11" t="s">
        <v>194</v>
      </c>
      <c r="I16" s="11" t="s">
        <v>1231</v>
      </c>
      <c r="J16" s="11" t="s">
        <v>1232</v>
      </c>
      <c r="K16" s="11" t="s">
        <v>1233</v>
      </c>
      <c r="L16" s="12" t="s">
        <v>65</v>
      </c>
      <c r="M16" s="12" t="s">
        <v>66</v>
      </c>
      <c r="N16" s="11" t="s">
        <v>67</v>
      </c>
      <c r="O16" s="11" t="s">
        <v>92</v>
      </c>
      <c r="P16" s="11" t="s">
        <v>67</v>
      </c>
      <c r="Q16" s="11" t="s">
        <v>343</v>
      </c>
      <c r="R16" s="11" t="s">
        <v>67</v>
      </c>
      <c r="S16" s="11" t="s">
        <v>1136</v>
      </c>
      <c r="T16" s="11" t="s">
        <v>1227</v>
      </c>
      <c r="U16" s="11" t="s">
        <v>1138</v>
      </c>
      <c r="V16" s="11" t="s">
        <v>1228</v>
      </c>
      <c r="W16" s="23" t="s">
        <v>67</v>
      </c>
      <c r="X16" s="13" t="s">
        <v>67</v>
      </c>
    </row>
    <row r="17" spans="1:24" ht="75.95" customHeight="1">
      <c r="A17" s="24" t="s">
        <v>55</v>
      </c>
      <c r="B17" s="24" t="s">
        <v>15</v>
      </c>
      <c r="C17" s="24" t="s">
        <v>1234</v>
      </c>
      <c r="D17" s="24" t="s">
        <v>1235</v>
      </c>
      <c r="E17" s="24" t="s">
        <v>798</v>
      </c>
      <c r="F17" s="24" t="s">
        <v>59</v>
      </c>
      <c r="G17" s="24" t="s">
        <v>60</v>
      </c>
      <c r="H17" s="24" t="s">
        <v>61</v>
      </c>
      <c r="I17" s="24" t="s">
        <v>799</v>
      </c>
      <c r="J17" s="24" t="s">
        <v>800</v>
      </c>
      <c r="K17" s="24" t="s">
        <v>801</v>
      </c>
      <c r="L17" s="12" t="s">
        <v>65</v>
      </c>
      <c r="M17" s="25" t="s">
        <v>66</v>
      </c>
      <c r="N17" s="24" t="s">
        <v>67</v>
      </c>
      <c r="O17" s="24" t="s">
        <v>68</v>
      </c>
      <c r="P17" s="24" t="s">
        <v>244</v>
      </c>
      <c r="Q17" s="24">
        <v>123456</v>
      </c>
      <c r="R17" s="24" t="s">
        <v>67</v>
      </c>
      <c r="S17" s="24" t="s">
        <v>1136</v>
      </c>
      <c r="T17" s="24" t="s">
        <v>1236</v>
      </c>
      <c r="U17" s="24" t="s">
        <v>1138</v>
      </c>
      <c r="V17" s="24" t="s">
        <v>1237</v>
      </c>
      <c r="W17" s="26" t="s">
        <v>67</v>
      </c>
      <c r="X17" s="27" t="s">
        <v>67</v>
      </c>
    </row>
    <row r="18" spans="1:24" ht="75.95" customHeight="1">
      <c r="A18" s="11" t="s">
        <v>55</v>
      </c>
      <c r="B18" s="11" t="s">
        <v>15</v>
      </c>
      <c r="C18" s="11" t="s">
        <v>1238</v>
      </c>
      <c r="D18" s="11" t="s">
        <v>1239</v>
      </c>
      <c r="E18" s="11" t="s">
        <v>798</v>
      </c>
      <c r="F18" s="11" t="s">
        <v>59</v>
      </c>
      <c r="G18" s="11" t="s">
        <v>60</v>
      </c>
      <c r="H18" s="11" t="s">
        <v>194</v>
      </c>
      <c r="I18" s="11" t="s">
        <v>1240</v>
      </c>
      <c r="J18" s="11" t="s">
        <v>804</v>
      </c>
      <c r="K18" s="11" t="s">
        <v>1241</v>
      </c>
      <c r="L18" s="12" t="s">
        <v>65</v>
      </c>
      <c r="M18" s="12" t="s">
        <v>66</v>
      </c>
      <c r="N18" s="11" t="s">
        <v>67</v>
      </c>
      <c r="O18" s="11" t="s">
        <v>68</v>
      </c>
      <c r="P18" s="11" t="s">
        <v>244</v>
      </c>
      <c r="Q18" s="11">
        <v>123456</v>
      </c>
      <c r="R18" s="11" t="s">
        <v>67</v>
      </c>
      <c r="S18" s="11" t="s">
        <v>1136</v>
      </c>
      <c r="T18" s="11" t="s">
        <v>1236</v>
      </c>
      <c r="U18" s="11" t="s">
        <v>1138</v>
      </c>
      <c r="V18" s="11" t="s">
        <v>1237</v>
      </c>
      <c r="W18" s="23" t="s">
        <v>67</v>
      </c>
      <c r="X18" s="13" t="s">
        <v>67</v>
      </c>
    </row>
    <row r="19" spans="1:24" ht="75.95" customHeight="1">
      <c r="A19" s="11" t="s">
        <v>55</v>
      </c>
      <c r="B19" s="11" t="s">
        <v>15</v>
      </c>
      <c r="C19" s="11" t="s">
        <v>1242</v>
      </c>
      <c r="D19" s="11" t="s">
        <v>1243</v>
      </c>
      <c r="E19" s="11" t="s">
        <v>798</v>
      </c>
      <c r="F19" s="11" t="s">
        <v>59</v>
      </c>
      <c r="G19" s="11" t="s">
        <v>60</v>
      </c>
      <c r="H19" s="11" t="s">
        <v>207</v>
      </c>
      <c r="I19" s="11" t="s">
        <v>1244</v>
      </c>
      <c r="J19" s="11" t="s">
        <v>1245</v>
      </c>
      <c r="K19" s="11" t="s">
        <v>1241</v>
      </c>
      <c r="L19" s="12" t="s">
        <v>65</v>
      </c>
      <c r="M19" s="12" t="s">
        <v>66</v>
      </c>
      <c r="N19" s="11" t="s">
        <v>67</v>
      </c>
      <c r="O19" s="11" t="s">
        <v>68</v>
      </c>
      <c r="P19" s="11" t="s">
        <v>244</v>
      </c>
      <c r="Q19" s="11">
        <v>123456</v>
      </c>
      <c r="R19" s="11" t="s">
        <v>67</v>
      </c>
      <c r="S19" s="11" t="s">
        <v>1136</v>
      </c>
      <c r="T19" s="11" t="s">
        <v>1236</v>
      </c>
      <c r="U19" s="11" t="s">
        <v>1138</v>
      </c>
      <c r="V19" s="11" t="s">
        <v>1237</v>
      </c>
      <c r="W19" s="23" t="s">
        <v>67</v>
      </c>
      <c r="X19" s="13" t="s">
        <v>67</v>
      </c>
    </row>
    <row r="20" spans="1:24" ht="90" customHeight="1">
      <c r="A20" s="11" t="s">
        <v>55</v>
      </c>
      <c r="B20" s="11" t="s">
        <v>15</v>
      </c>
      <c r="C20" s="11" t="s">
        <v>1246</v>
      </c>
      <c r="D20" s="11" t="s">
        <v>1247</v>
      </c>
      <c r="E20" s="11" t="s">
        <v>58</v>
      </c>
      <c r="F20" s="11" t="s">
        <v>59</v>
      </c>
      <c r="G20" s="11" t="s">
        <v>60</v>
      </c>
      <c r="H20" s="11" t="s">
        <v>61</v>
      </c>
      <c r="I20" s="11" t="s">
        <v>1248</v>
      </c>
      <c r="J20" s="11" t="s">
        <v>63</v>
      </c>
      <c r="K20" s="11" t="s">
        <v>64</v>
      </c>
      <c r="L20" s="12" t="s">
        <v>65</v>
      </c>
      <c r="M20" s="12" t="s">
        <v>66</v>
      </c>
      <c r="N20" s="11" t="s">
        <v>67</v>
      </c>
      <c r="O20" s="11" t="s">
        <v>68</v>
      </c>
      <c r="P20" s="11" t="s">
        <v>69</v>
      </c>
      <c r="Q20" s="11" t="s">
        <v>1249</v>
      </c>
      <c r="R20" s="11" t="s">
        <v>67</v>
      </c>
      <c r="S20" s="11" t="s">
        <v>1136</v>
      </c>
      <c r="T20" s="11" t="s">
        <v>1250</v>
      </c>
      <c r="U20" s="11" t="s">
        <v>1251</v>
      </c>
      <c r="V20" s="11" t="s">
        <v>1252</v>
      </c>
      <c r="W20" s="23" t="s">
        <v>67</v>
      </c>
      <c r="X20" s="13" t="s">
        <v>67</v>
      </c>
    </row>
    <row r="21" spans="1:24" ht="75.95" customHeight="1">
      <c r="A21" s="11" t="s">
        <v>55</v>
      </c>
      <c r="B21" s="11" t="s">
        <v>15</v>
      </c>
      <c r="C21" s="11" t="s">
        <v>1253</v>
      </c>
      <c r="D21" s="11" t="s">
        <v>1254</v>
      </c>
      <c r="E21" s="11" t="s">
        <v>58</v>
      </c>
      <c r="F21" s="11" t="s">
        <v>59</v>
      </c>
      <c r="G21" s="11" t="s">
        <v>60</v>
      </c>
      <c r="H21" s="11" t="s">
        <v>194</v>
      </c>
      <c r="I21" s="11" t="s">
        <v>1255</v>
      </c>
      <c r="J21" s="11" t="s">
        <v>1256</v>
      </c>
      <c r="K21" s="11" t="s">
        <v>1257</v>
      </c>
      <c r="L21" s="12" t="s">
        <v>65</v>
      </c>
      <c r="M21" s="12" t="s">
        <v>66</v>
      </c>
      <c r="N21" s="11" t="s">
        <v>67</v>
      </c>
      <c r="O21" s="11" t="s">
        <v>68</v>
      </c>
      <c r="P21" s="11" t="s">
        <v>69</v>
      </c>
      <c r="Q21" s="11" t="s">
        <v>1249</v>
      </c>
      <c r="R21" s="11" t="s">
        <v>67</v>
      </c>
      <c r="S21" s="11" t="s">
        <v>1136</v>
      </c>
      <c r="T21" s="11" t="s">
        <v>1258</v>
      </c>
      <c r="U21" s="11" t="s">
        <v>1138</v>
      </c>
      <c r="V21" s="11" t="s">
        <v>1259</v>
      </c>
      <c r="W21" s="23" t="s">
        <v>67</v>
      </c>
      <c r="X21" s="13" t="s">
        <v>67</v>
      </c>
    </row>
    <row r="22" spans="1:24" ht="75.95" customHeight="1">
      <c r="A22" s="11" t="s">
        <v>55</v>
      </c>
      <c r="B22" s="11" t="s">
        <v>15</v>
      </c>
      <c r="C22" s="11" t="s">
        <v>1260</v>
      </c>
      <c r="D22" s="11" t="s">
        <v>1261</v>
      </c>
      <c r="E22" s="11" t="s">
        <v>58</v>
      </c>
      <c r="F22" s="11" t="s">
        <v>59</v>
      </c>
      <c r="G22" s="11" t="s">
        <v>60</v>
      </c>
      <c r="H22" s="11" t="s">
        <v>200</v>
      </c>
      <c r="I22" s="11" t="s">
        <v>201</v>
      </c>
      <c r="J22" s="11" t="s">
        <v>1262</v>
      </c>
      <c r="K22" s="11" t="s">
        <v>1263</v>
      </c>
      <c r="L22" s="12" t="s">
        <v>23</v>
      </c>
      <c r="M22" s="12" t="s">
        <v>66</v>
      </c>
      <c r="N22" s="11" t="s">
        <v>67</v>
      </c>
      <c r="O22" s="11" t="s">
        <v>68</v>
      </c>
      <c r="P22" s="11" t="s">
        <v>69</v>
      </c>
      <c r="Q22" s="11" t="s">
        <v>1249</v>
      </c>
      <c r="R22" s="11" t="s">
        <v>67</v>
      </c>
      <c r="S22" s="11" t="s">
        <v>1136</v>
      </c>
      <c r="T22" s="11" t="s">
        <v>1264</v>
      </c>
      <c r="U22" s="11" t="s">
        <v>1138</v>
      </c>
      <c r="V22" s="11" t="s">
        <v>1259</v>
      </c>
      <c r="W22" s="23" t="s">
        <v>67</v>
      </c>
      <c r="X22" s="13" t="s">
        <v>67</v>
      </c>
    </row>
    <row r="23" spans="1:24" ht="75.95" customHeight="1">
      <c r="A23" s="11" t="s">
        <v>55</v>
      </c>
      <c r="B23" s="11" t="s">
        <v>15</v>
      </c>
      <c r="C23" s="11" t="s">
        <v>1265</v>
      </c>
      <c r="D23" s="11" t="s">
        <v>1266</v>
      </c>
      <c r="E23" s="11" t="s">
        <v>58</v>
      </c>
      <c r="F23" s="11" t="s">
        <v>59</v>
      </c>
      <c r="G23" s="11" t="s">
        <v>60</v>
      </c>
      <c r="H23" s="11" t="s">
        <v>207</v>
      </c>
      <c r="I23" s="11" t="s">
        <v>1267</v>
      </c>
      <c r="J23" s="11" t="s">
        <v>1268</v>
      </c>
      <c r="K23" s="11" t="s">
        <v>1269</v>
      </c>
      <c r="L23" s="12" t="s">
        <v>23</v>
      </c>
      <c r="M23" s="12" t="s">
        <v>66</v>
      </c>
      <c r="N23" s="11" t="s">
        <v>67</v>
      </c>
      <c r="O23" s="11" t="s">
        <v>68</v>
      </c>
      <c r="P23" s="11" t="s">
        <v>69</v>
      </c>
      <c r="Q23" s="11" t="s">
        <v>1249</v>
      </c>
      <c r="R23" s="11" t="s">
        <v>67</v>
      </c>
      <c r="S23" s="11" t="s">
        <v>1136</v>
      </c>
      <c r="T23" s="11" t="s">
        <v>1270</v>
      </c>
      <c r="U23" s="11" t="s">
        <v>1271</v>
      </c>
      <c r="V23" s="11" t="s">
        <v>1272</v>
      </c>
      <c r="W23" s="23" t="s">
        <v>67</v>
      </c>
      <c r="X23" s="13" t="s">
        <v>67</v>
      </c>
    </row>
    <row r="24" spans="1:24" ht="132" customHeight="1">
      <c r="A24" s="11" t="s">
        <v>55</v>
      </c>
      <c r="B24" s="11" t="s">
        <v>15</v>
      </c>
      <c r="C24" s="11" t="s">
        <v>1273</v>
      </c>
      <c r="D24" s="11" t="s">
        <v>1274</v>
      </c>
      <c r="E24" s="11" t="s">
        <v>1275</v>
      </c>
      <c r="F24" s="11" t="s">
        <v>59</v>
      </c>
      <c r="G24" s="11" t="s">
        <v>60</v>
      </c>
      <c r="H24" s="11" t="s">
        <v>194</v>
      </c>
      <c r="I24" s="11" t="s">
        <v>1276</v>
      </c>
      <c r="J24" s="11" t="s">
        <v>1277</v>
      </c>
      <c r="K24" s="11" t="s">
        <v>1278</v>
      </c>
      <c r="L24" s="12" t="s">
        <v>65</v>
      </c>
      <c r="M24" s="12" t="s">
        <v>66</v>
      </c>
      <c r="N24" s="11" t="s">
        <v>67</v>
      </c>
      <c r="O24" s="11" t="s">
        <v>329</v>
      </c>
      <c r="P24" s="11" t="s">
        <v>67</v>
      </c>
      <c r="Q24" s="11" t="s">
        <v>67</v>
      </c>
      <c r="R24" s="11" t="s">
        <v>67</v>
      </c>
      <c r="S24" s="11" t="s">
        <v>1136</v>
      </c>
      <c r="T24" s="11" t="s">
        <v>1279</v>
      </c>
      <c r="U24" s="11" t="s">
        <v>1138</v>
      </c>
      <c r="V24" s="11" t="s">
        <v>1280</v>
      </c>
      <c r="W24" s="23" t="s">
        <v>67</v>
      </c>
      <c r="X24" s="13" t="s">
        <v>67</v>
      </c>
    </row>
    <row r="25" spans="1:24" ht="48" customHeight="1">
      <c r="A25" s="11" t="s">
        <v>55</v>
      </c>
      <c r="B25" s="11" t="s">
        <v>15</v>
      </c>
      <c r="C25" s="11" t="s">
        <v>1281</v>
      </c>
      <c r="D25" s="11" t="s">
        <v>1282</v>
      </c>
      <c r="E25" s="11" t="s">
        <v>1283</v>
      </c>
      <c r="F25" s="11" t="s">
        <v>59</v>
      </c>
      <c r="G25" s="11" t="s">
        <v>60</v>
      </c>
      <c r="H25" s="11" t="s">
        <v>194</v>
      </c>
      <c r="I25" s="11" t="s">
        <v>1284</v>
      </c>
      <c r="J25" s="11" t="s">
        <v>1285</v>
      </c>
      <c r="K25" s="11" t="s">
        <v>1286</v>
      </c>
      <c r="L25" s="12" t="s">
        <v>65</v>
      </c>
      <c r="M25" s="12" t="s">
        <v>66</v>
      </c>
      <c r="N25" s="11" t="s">
        <v>67</v>
      </c>
      <c r="O25" s="11" t="s">
        <v>68</v>
      </c>
      <c r="P25" s="11" t="s">
        <v>1146</v>
      </c>
      <c r="Q25" s="11" t="s">
        <v>67</v>
      </c>
      <c r="R25" s="11" t="s">
        <v>67</v>
      </c>
      <c r="S25" s="11" t="s">
        <v>1136</v>
      </c>
      <c r="T25" s="11" t="s">
        <v>1287</v>
      </c>
      <c r="U25" s="11" t="s">
        <v>1138</v>
      </c>
      <c r="V25" s="11" t="s">
        <v>1288</v>
      </c>
      <c r="W25" s="23" t="s">
        <v>67</v>
      </c>
      <c r="X25" s="13" t="s">
        <v>67</v>
      </c>
    </row>
    <row r="26" spans="1:24" ht="48" customHeight="1">
      <c r="A26" s="11" t="s">
        <v>55</v>
      </c>
      <c r="B26" s="11" t="s">
        <v>15</v>
      </c>
      <c r="C26" s="11" t="s">
        <v>1289</v>
      </c>
      <c r="D26" s="11" t="s">
        <v>1290</v>
      </c>
      <c r="E26" s="11" t="s">
        <v>1283</v>
      </c>
      <c r="F26" s="11" t="s">
        <v>59</v>
      </c>
      <c r="G26" s="11" t="s">
        <v>60</v>
      </c>
      <c r="H26" s="11" t="s">
        <v>200</v>
      </c>
      <c r="I26" s="11" t="s">
        <v>1291</v>
      </c>
      <c r="J26" s="11" t="s">
        <v>1292</v>
      </c>
      <c r="K26" s="11" t="s">
        <v>1293</v>
      </c>
      <c r="L26" s="12" t="s">
        <v>23</v>
      </c>
      <c r="M26" s="12" t="s">
        <v>66</v>
      </c>
      <c r="N26" s="11" t="s">
        <v>67</v>
      </c>
      <c r="O26" s="11" t="s">
        <v>68</v>
      </c>
      <c r="P26" s="11" t="s">
        <v>1146</v>
      </c>
      <c r="Q26" s="11" t="s">
        <v>67</v>
      </c>
      <c r="R26" s="11" t="s">
        <v>67</v>
      </c>
      <c r="S26" s="11" t="s">
        <v>1136</v>
      </c>
      <c r="T26" s="11" t="s">
        <v>1287</v>
      </c>
      <c r="U26" s="11" t="s">
        <v>1138</v>
      </c>
      <c r="V26" s="11" t="s">
        <v>1288</v>
      </c>
      <c r="W26" s="23" t="s">
        <v>67</v>
      </c>
      <c r="X26" s="13" t="s">
        <v>67</v>
      </c>
    </row>
    <row r="27" spans="1:24" ht="48" customHeight="1">
      <c r="A27" s="11" t="s">
        <v>55</v>
      </c>
      <c r="B27" s="11" t="s">
        <v>15</v>
      </c>
      <c r="C27" s="11" t="s">
        <v>1294</v>
      </c>
      <c r="D27" s="11" t="s">
        <v>1295</v>
      </c>
      <c r="E27" s="11" t="s">
        <v>1296</v>
      </c>
      <c r="F27" s="11" t="s">
        <v>59</v>
      </c>
      <c r="G27" s="11" t="s">
        <v>60</v>
      </c>
      <c r="H27" s="11" t="s">
        <v>194</v>
      </c>
      <c r="I27" s="11" t="s">
        <v>1297</v>
      </c>
      <c r="J27" s="11" t="s">
        <v>1298</v>
      </c>
      <c r="K27" s="11" t="s">
        <v>1299</v>
      </c>
      <c r="L27" s="12" t="s">
        <v>65</v>
      </c>
      <c r="M27" s="12" t="s">
        <v>66</v>
      </c>
      <c r="N27" s="11" t="s">
        <v>67</v>
      </c>
      <c r="O27" s="11" t="s">
        <v>68</v>
      </c>
      <c r="P27" s="11" t="s">
        <v>1146</v>
      </c>
      <c r="Q27" s="11" t="s">
        <v>67</v>
      </c>
      <c r="R27" s="11" t="s">
        <v>67</v>
      </c>
      <c r="S27" s="11" t="s">
        <v>1136</v>
      </c>
      <c r="T27" s="11" t="s">
        <v>1287</v>
      </c>
      <c r="U27" s="11" t="s">
        <v>1138</v>
      </c>
      <c r="V27" s="11" t="s">
        <v>1300</v>
      </c>
      <c r="W27" s="23" t="s">
        <v>67</v>
      </c>
      <c r="X27" s="13" t="s">
        <v>67</v>
      </c>
    </row>
    <row r="28" spans="1:24" ht="48" customHeight="1">
      <c r="A28" s="11" t="s">
        <v>55</v>
      </c>
      <c r="B28" s="11" t="s">
        <v>15</v>
      </c>
      <c r="C28" s="11" t="s">
        <v>1301</v>
      </c>
      <c r="D28" s="11" t="s">
        <v>1302</v>
      </c>
      <c r="E28" s="11" t="s">
        <v>1296</v>
      </c>
      <c r="F28" s="11" t="s">
        <v>59</v>
      </c>
      <c r="G28" s="11" t="s">
        <v>60</v>
      </c>
      <c r="H28" s="11" t="s">
        <v>200</v>
      </c>
      <c r="I28" s="11" t="s">
        <v>1303</v>
      </c>
      <c r="J28" s="11" t="s">
        <v>1304</v>
      </c>
      <c r="K28" s="11" t="s">
        <v>1305</v>
      </c>
      <c r="L28" s="12" t="s">
        <v>23</v>
      </c>
      <c r="M28" s="12" t="s">
        <v>66</v>
      </c>
      <c r="N28" s="11" t="s">
        <v>67</v>
      </c>
      <c r="O28" s="11" t="s">
        <v>68</v>
      </c>
      <c r="P28" s="11" t="s">
        <v>1146</v>
      </c>
      <c r="Q28" s="11" t="s">
        <v>67</v>
      </c>
      <c r="R28" s="11" t="s">
        <v>67</v>
      </c>
      <c r="S28" s="11" t="s">
        <v>1136</v>
      </c>
      <c r="T28" s="11" t="s">
        <v>1287</v>
      </c>
      <c r="U28" s="11" t="s">
        <v>1138</v>
      </c>
      <c r="V28" s="11" t="s">
        <v>1300</v>
      </c>
      <c r="W28" s="23" t="s">
        <v>67</v>
      </c>
      <c r="X28" s="13" t="s">
        <v>67</v>
      </c>
    </row>
    <row r="29" spans="1:24" ht="90" customHeight="1">
      <c r="A29" s="11" t="s">
        <v>55</v>
      </c>
      <c r="B29" s="11" t="s">
        <v>15</v>
      </c>
      <c r="C29" s="11" t="s">
        <v>1306</v>
      </c>
      <c r="D29" s="11" t="s">
        <v>1307</v>
      </c>
      <c r="E29" s="11" t="s">
        <v>1308</v>
      </c>
      <c r="F29" s="11" t="s">
        <v>59</v>
      </c>
      <c r="G29" s="11" t="s">
        <v>60</v>
      </c>
      <c r="H29" s="11" t="s">
        <v>194</v>
      </c>
      <c r="I29" s="11" t="s">
        <v>1309</v>
      </c>
      <c r="J29" s="11" t="s">
        <v>1310</v>
      </c>
      <c r="K29" s="11" t="s">
        <v>1311</v>
      </c>
      <c r="L29" s="12" t="s">
        <v>65</v>
      </c>
      <c r="M29" s="12" t="s">
        <v>66</v>
      </c>
      <c r="N29" s="11" t="s">
        <v>67</v>
      </c>
      <c r="O29" s="11" t="s">
        <v>329</v>
      </c>
      <c r="P29" s="11" t="s">
        <v>67</v>
      </c>
      <c r="Q29" s="11" t="s">
        <v>67</v>
      </c>
      <c r="R29" s="11" t="s">
        <v>67</v>
      </c>
      <c r="S29" s="11" t="s">
        <v>1136</v>
      </c>
      <c r="T29" s="11" t="s">
        <v>1312</v>
      </c>
      <c r="U29" s="11" t="s">
        <v>1138</v>
      </c>
      <c r="V29" s="11" t="s">
        <v>1313</v>
      </c>
      <c r="W29" s="23" t="s">
        <v>67</v>
      </c>
      <c r="X29" s="13" t="s">
        <v>67</v>
      </c>
    </row>
    <row r="30" spans="1:24" ht="117.95" customHeight="1">
      <c r="A30" s="11" t="s">
        <v>55</v>
      </c>
      <c r="B30" s="11" t="s">
        <v>15</v>
      </c>
      <c r="C30" s="11" t="s">
        <v>1314</v>
      </c>
      <c r="D30" s="11" t="s">
        <v>1315</v>
      </c>
      <c r="E30" s="11" t="s">
        <v>1316</v>
      </c>
      <c r="F30" s="11" t="s">
        <v>59</v>
      </c>
      <c r="G30" s="11" t="s">
        <v>60</v>
      </c>
      <c r="H30" s="11" t="s">
        <v>194</v>
      </c>
      <c r="I30" s="11" t="s">
        <v>1317</v>
      </c>
      <c r="J30" s="11" t="s">
        <v>1318</v>
      </c>
      <c r="K30" s="11" t="s">
        <v>1319</v>
      </c>
      <c r="L30" s="12" t="s">
        <v>65</v>
      </c>
      <c r="M30" s="12" t="s">
        <v>66</v>
      </c>
      <c r="N30" s="11" t="s">
        <v>67</v>
      </c>
      <c r="O30" s="11" t="s">
        <v>68</v>
      </c>
      <c r="P30" s="11" t="s">
        <v>152</v>
      </c>
      <c r="Q30" s="11" t="s">
        <v>67</v>
      </c>
      <c r="R30" s="11" t="s">
        <v>67</v>
      </c>
      <c r="S30" s="11" t="s">
        <v>1136</v>
      </c>
      <c r="T30" s="11" t="s">
        <v>1320</v>
      </c>
      <c r="U30" s="11" t="s">
        <v>1138</v>
      </c>
      <c r="V30" s="11" t="s">
        <v>1321</v>
      </c>
      <c r="W30" s="23" t="s">
        <v>67</v>
      </c>
      <c r="X30" s="13" t="s">
        <v>67</v>
      </c>
    </row>
    <row r="31" spans="1:24" ht="117.95" customHeight="1">
      <c r="A31" s="11" t="s">
        <v>55</v>
      </c>
      <c r="B31" s="11" t="s">
        <v>15</v>
      </c>
      <c r="C31" s="11" t="s">
        <v>1322</v>
      </c>
      <c r="D31" s="11" t="s">
        <v>1323</v>
      </c>
      <c r="E31" s="11" t="s">
        <v>1316</v>
      </c>
      <c r="F31" s="11" t="s">
        <v>59</v>
      </c>
      <c r="G31" s="11" t="s">
        <v>60</v>
      </c>
      <c r="H31" s="11" t="s">
        <v>200</v>
      </c>
      <c r="I31" s="11" t="s">
        <v>1324</v>
      </c>
      <c r="J31" s="11" t="s">
        <v>1325</v>
      </c>
      <c r="K31" s="11" t="s">
        <v>1326</v>
      </c>
      <c r="L31" s="12" t="s">
        <v>23</v>
      </c>
      <c r="M31" s="12" t="s">
        <v>66</v>
      </c>
      <c r="N31" s="11" t="s">
        <v>67</v>
      </c>
      <c r="O31" s="11" t="s">
        <v>68</v>
      </c>
      <c r="P31" s="11" t="s">
        <v>152</v>
      </c>
      <c r="Q31" s="11" t="s">
        <v>67</v>
      </c>
      <c r="R31" s="11" t="s">
        <v>67</v>
      </c>
      <c r="S31" s="11" t="s">
        <v>1136</v>
      </c>
      <c r="T31" s="11" t="s">
        <v>1320</v>
      </c>
      <c r="U31" s="11" t="s">
        <v>1138</v>
      </c>
      <c r="V31" s="11" t="s">
        <v>1321</v>
      </c>
      <c r="W31" s="23" t="s">
        <v>67</v>
      </c>
      <c r="X31" s="13" t="s">
        <v>67</v>
      </c>
    </row>
    <row r="32" spans="1:24" ht="62.1" customHeight="1">
      <c r="A32" s="11" t="s">
        <v>55</v>
      </c>
      <c r="B32" s="11" t="s">
        <v>15</v>
      </c>
      <c r="C32" s="11" t="s">
        <v>1327</v>
      </c>
      <c r="D32" s="11" t="s">
        <v>1328</v>
      </c>
      <c r="E32" s="11" t="s">
        <v>1329</v>
      </c>
      <c r="F32" s="11" t="s">
        <v>59</v>
      </c>
      <c r="G32" s="11" t="s">
        <v>60</v>
      </c>
      <c r="H32" s="11" t="s">
        <v>194</v>
      </c>
      <c r="I32" s="11" t="s">
        <v>1330</v>
      </c>
      <c r="J32" s="11" t="s">
        <v>1331</v>
      </c>
      <c r="K32" s="11" t="s">
        <v>1332</v>
      </c>
      <c r="L32" s="12" t="s">
        <v>65</v>
      </c>
      <c r="M32" s="12" t="s">
        <v>66</v>
      </c>
      <c r="N32" s="11" t="s">
        <v>67</v>
      </c>
      <c r="O32" s="11" t="s">
        <v>1333</v>
      </c>
      <c r="P32" s="11" t="s">
        <v>1334</v>
      </c>
      <c r="Q32" s="11">
        <v>75.5</v>
      </c>
      <c r="R32" s="11" t="s">
        <v>67</v>
      </c>
      <c r="S32" s="11" t="s">
        <v>1136</v>
      </c>
      <c r="T32" s="11" t="s">
        <v>1335</v>
      </c>
      <c r="U32" s="11" t="s">
        <v>1138</v>
      </c>
      <c r="V32" s="11" t="s">
        <v>1336</v>
      </c>
      <c r="W32" s="23" t="s">
        <v>67</v>
      </c>
      <c r="X32" s="13" t="s">
        <v>67</v>
      </c>
    </row>
    <row r="33" spans="1:24" ht="75.95" customHeight="1">
      <c r="A33" s="11" t="s">
        <v>55</v>
      </c>
      <c r="B33" s="11" t="s">
        <v>15</v>
      </c>
      <c r="C33" s="11" t="s">
        <v>1337</v>
      </c>
      <c r="D33" s="11" t="s">
        <v>1338</v>
      </c>
      <c r="E33" s="11" t="s">
        <v>1329</v>
      </c>
      <c r="F33" s="11" t="s">
        <v>59</v>
      </c>
      <c r="G33" s="11" t="s">
        <v>60</v>
      </c>
      <c r="H33" s="11" t="s">
        <v>1339</v>
      </c>
      <c r="I33" s="11" t="s">
        <v>1340</v>
      </c>
      <c r="J33" s="11" t="s">
        <v>1341</v>
      </c>
      <c r="K33" s="11" t="s">
        <v>1342</v>
      </c>
      <c r="L33" s="12" t="s">
        <v>23</v>
      </c>
      <c r="M33" s="12" t="s">
        <v>66</v>
      </c>
      <c r="N33" s="11" t="s">
        <v>67</v>
      </c>
      <c r="O33" s="11" t="s">
        <v>1333</v>
      </c>
      <c r="P33" s="11" t="s">
        <v>1334</v>
      </c>
      <c r="Q33" s="11" t="s">
        <v>1334</v>
      </c>
      <c r="R33" s="11" t="s">
        <v>67</v>
      </c>
      <c r="S33" s="11" t="s">
        <v>1136</v>
      </c>
      <c r="T33" s="11" t="s">
        <v>1343</v>
      </c>
      <c r="U33" s="11" t="s">
        <v>1138</v>
      </c>
      <c r="V33" s="11" t="s">
        <v>1336</v>
      </c>
      <c r="W33" s="23" t="s">
        <v>67</v>
      </c>
      <c r="X33" s="13" t="s">
        <v>67</v>
      </c>
    </row>
    <row r="34" spans="1:24" ht="117.95" customHeight="1">
      <c r="A34" s="11" t="s">
        <v>55</v>
      </c>
      <c r="B34" s="11" t="s">
        <v>15</v>
      </c>
      <c r="C34" s="11" t="s">
        <v>1344</v>
      </c>
      <c r="D34" s="11" t="s">
        <v>1345</v>
      </c>
      <c r="E34" s="11" t="s">
        <v>1346</v>
      </c>
      <c r="F34" s="11" t="s">
        <v>59</v>
      </c>
      <c r="G34" s="11" t="s">
        <v>60</v>
      </c>
      <c r="H34" s="11" t="s">
        <v>194</v>
      </c>
      <c r="I34" s="11" t="s">
        <v>1347</v>
      </c>
      <c r="J34" s="11" t="s">
        <v>1348</v>
      </c>
      <c r="K34" s="11" t="s">
        <v>1349</v>
      </c>
      <c r="L34" s="12" t="s">
        <v>65</v>
      </c>
      <c r="M34" s="12" t="s">
        <v>66</v>
      </c>
      <c r="N34" s="11" t="s">
        <v>67</v>
      </c>
      <c r="O34" s="11" t="s">
        <v>68</v>
      </c>
      <c r="P34" s="11" t="s">
        <v>1146</v>
      </c>
      <c r="Q34" s="11" t="s">
        <v>67</v>
      </c>
      <c r="R34" s="11" t="s">
        <v>67</v>
      </c>
      <c r="S34" s="11" t="s">
        <v>1136</v>
      </c>
      <c r="T34" s="11" t="s">
        <v>1350</v>
      </c>
      <c r="U34" s="11" t="s">
        <v>1138</v>
      </c>
      <c r="V34" s="11" t="s">
        <v>1351</v>
      </c>
      <c r="W34" s="23" t="s">
        <v>67</v>
      </c>
      <c r="X34" s="13" t="s">
        <v>67</v>
      </c>
    </row>
    <row r="35" spans="1:24" ht="117.95" customHeight="1">
      <c r="A35" s="11" t="s">
        <v>55</v>
      </c>
      <c r="B35" s="11" t="s">
        <v>15</v>
      </c>
      <c r="C35" s="11" t="s">
        <v>1352</v>
      </c>
      <c r="D35" s="11" t="s">
        <v>1353</v>
      </c>
      <c r="E35" s="11" t="s">
        <v>1346</v>
      </c>
      <c r="F35" s="11" t="s">
        <v>59</v>
      </c>
      <c r="G35" s="11" t="s">
        <v>60</v>
      </c>
      <c r="H35" s="11" t="s">
        <v>200</v>
      </c>
      <c r="I35" s="11" t="s">
        <v>1354</v>
      </c>
      <c r="J35" s="11" t="s">
        <v>1355</v>
      </c>
      <c r="K35" s="11" t="s">
        <v>1356</v>
      </c>
      <c r="L35" s="12" t="s">
        <v>23</v>
      </c>
      <c r="M35" s="12" t="s">
        <v>66</v>
      </c>
      <c r="N35" s="11" t="s">
        <v>67</v>
      </c>
      <c r="O35" s="11" t="s">
        <v>68</v>
      </c>
      <c r="P35" s="11" t="s">
        <v>1146</v>
      </c>
      <c r="Q35" s="11" t="s">
        <v>67</v>
      </c>
      <c r="R35" s="11" t="s">
        <v>67</v>
      </c>
      <c r="S35" s="11" t="s">
        <v>1136</v>
      </c>
      <c r="T35" s="11" t="s">
        <v>1350</v>
      </c>
      <c r="U35" s="11" t="s">
        <v>1138</v>
      </c>
      <c r="V35" s="11" t="s">
        <v>1351</v>
      </c>
      <c r="W35" s="23" t="s">
        <v>67</v>
      </c>
      <c r="X35" s="13" t="s">
        <v>67</v>
      </c>
    </row>
    <row r="36" spans="1:24" ht="117.95" customHeight="1">
      <c r="A36" s="11" t="s">
        <v>55</v>
      </c>
      <c r="B36" s="11" t="s">
        <v>15</v>
      </c>
      <c r="C36" s="11" t="s">
        <v>1357</v>
      </c>
      <c r="D36" s="11" t="s">
        <v>1358</v>
      </c>
      <c r="E36" s="11" t="s">
        <v>1359</v>
      </c>
      <c r="F36" s="11" t="s">
        <v>59</v>
      </c>
      <c r="G36" s="11" t="s">
        <v>60</v>
      </c>
      <c r="H36" s="11" t="s">
        <v>194</v>
      </c>
      <c r="I36" s="11" t="s">
        <v>1360</v>
      </c>
      <c r="J36" s="11" t="s">
        <v>1361</v>
      </c>
      <c r="K36" s="11" t="s">
        <v>1362</v>
      </c>
      <c r="L36" s="12" t="s">
        <v>65</v>
      </c>
      <c r="M36" s="12" t="s">
        <v>66</v>
      </c>
      <c r="N36" s="11" t="s">
        <v>67</v>
      </c>
      <c r="O36" s="11" t="s">
        <v>68</v>
      </c>
      <c r="P36" s="11" t="s">
        <v>883</v>
      </c>
      <c r="Q36" s="11" t="s">
        <v>67</v>
      </c>
      <c r="R36" s="11" t="s">
        <v>67</v>
      </c>
      <c r="S36" s="11" t="s">
        <v>1136</v>
      </c>
      <c r="T36" s="11" t="s">
        <v>1363</v>
      </c>
      <c r="U36" s="11" t="s">
        <v>1138</v>
      </c>
      <c r="V36" s="11" t="s">
        <v>1364</v>
      </c>
      <c r="W36" s="23" t="s">
        <v>67</v>
      </c>
      <c r="X36" s="13" t="s">
        <v>67</v>
      </c>
    </row>
    <row r="37" spans="1:24" ht="117.95" customHeight="1">
      <c r="A37" s="11" t="s">
        <v>55</v>
      </c>
      <c r="B37" s="11" t="s">
        <v>15</v>
      </c>
      <c r="C37" s="11" t="s">
        <v>1365</v>
      </c>
      <c r="D37" s="11" t="s">
        <v>1366</v>
      </c>
      <c r="E37" s="11" t="s">
        <v>1359</v>
      </c>
      <c r="F37" s="11" t="s">
        <v>59</v>
      </c>
      <c r="G37" s="11" t="s">
        <v>60</v>
      </c>
      <c r="H37" s="11" t="s">
        <v>200</v>
      </c>
      <c r="I37" s="11" t="s">
        <v>1367</v>
      </c>
      <c r="J37" s="11" t="s">
        <v>1368</v>
      </c>
      <c r="K37" s="11" t="s">
        <v>1369</v>
      </c>
      <c r="L37" s="12" t="s">
        <v>23</v>
      </c>
      <c r="M37" s="12" t="s">
        <v>66</v>
      </c>
      <c r="N37" s="11" t="s">
        <v>67</v>
      </c>
      <c r="O37" s="11" t="s">
        <v>68</v>
      </c>
      <c r="P37" s="11" t="s">
        <v>883</v>
      </c>
      <c r="Q37" s="11" t="s">
        <v>67</v>
      </c>
      <c r="R37" s="11" t="s">
        <v>67</v>
      </c>
      <c r="S37" s="11" t="s">
        <v>1136</v>
      </c>
      <c r="T37" s="11" t="s">
        <v>1363</v>
      </c>
      <c r="U37" s="11" t="s">
        <v>1138</v>
      </c>
      <c r="V37" s="11" t="s">
        <v>1364</v>
      </c>
      <c r="W37" s="23" t="s">
        <v>67</v>
      </c>
      <c r="X37" s="13" t="s">
        <v>67</v>
      </c>
    </row>
    <row r="38" spans="1:24" ht="48" customHeight="1">
      <c r="A38" s="11" t="s">
        <v>55</v>
      </c>
      <c r="B38" s="11" t="s">
        <v>15</v>
      </c>
      <c r="C38" s="11" t="s">
        <v>1370</v>
      </c>
      <c r="D38" s="11" t="s">
        <v>1371</v>
      </c>
      <c r="E38" s="11" t="s">
        <v>895</v>
      </c>
      <c r="F38" s="11" t="s">
        <v>59</v>
      </c>
      <c r="G38" s="11" t="s">
        <v>60</v>
      </c>
      <c r="H38" s="11" t="s">
        <v>194</v>
      </c>
      <c r="I38" s="11" t="s">
        <v>1372</v>
      </c>
      <c r="J38" s="11" t="s">
        <v>896</v>
      </c>
      <c r="K38" s="11" t="s">
        <v>897</v>
      </c>
      <c r="L38" s="12" t="s">
        <v>65</v>
      </c>
      <c r="M38" s="12" t="s">
        <v>66</v>
      </c>
      <c r="N38" s="11" t="s">
        <v>67</v>
      </c>
      <c r="O38" s="11" t="s">
        <v>68</v>
      </c>
      <c r="P38" s="11" t="s">
        <v>67</v>
      </c>
      <c r="Q38" s="11" t="s">
        <v>898</v>
      </c>
      <c r="R38" s="11" t="s">
        <v>67</v>
      </c>
      <c r="S38" s="11" t="s">
        <v>1136</v>
      </c>
      <c r="T38" s="11" t="s">
        <v>1287</v>
      </c>
      <c r="U38" s="11" t="s">
        <v>1138</v>
      </c>
      <c r="V38" s="11" t="s">
        <v>1373</v>
      </c>
      <c r="W38" s="23" t="s">
        <v>67</v>
      </c>
      <c r="X38" s="13" t="s">
        <v>67</v>
      </c>
    </row>
    <row r="39" spans="1:24" ht="48" customHeight="1">
      <c r="A39" s="11" t="s">
        <v>55</v>
      </c>
      <c r="B39" s="11" t="s">
        <v>15</v>
      </c>
      <c r="C39" s="11" t="s">
        <v>1374</v>
      </c>
      <c r="D39" s="11" t="s">
        <v>1375</v>
      </c>
      <c r="E39" s="11" t="s">
        <v>1376</v>
      </c>
      <c r="F39" s="11" t="s">
        <v>59</v>
      </c>
      <c r="G39" s="11" t="s">
        <v>60</v>
      </c>
      <c r="H39" s="11" t="s">
        <v>194</v>
      </c>
      <c r="I39" s="11" t="s">
        <v>1377</v>
      </c>
      <c r="J39" s="11" t="s">
        <v>1378</v>
      </c>
      <c r="K39" s="11" t="s">
        <v>1379</v>
      </c>
      <c r="L39" s="12" t="s">
        <v>65</v>
      </c>
      <c r="M39" s="12" t="s">
        <v>66</v>
      </c>
      <c r="N39" s="11" t="s">
        <v>67</v>
      </c>
      <c r="O39" s="11" t="s">
        <v>68</v>
      </c>
      <c r="P39" s="11" t="s">
        <v>1380</v>
      </c>
      <c r="Q39" s="11" t="s">
        <v>67</v>
      </c>
      <c r="R39" s="11" t="s">
        <v>67</v>
      </c>
      <c r="S39" s="11" t="s">
        <v>1161</v>
      </c>
      <c r="T39" s="11" t="s">
        <v>1162</v>
      </c>
      <c r="U39" s="11" t="s">
        <v>1163</v>
      </c>
      <c r="V39" s="11" t="s">
        <v>1164</v>
      </c>
      <c r="W39" s="23" t="s">
        <v>67</v>
      </c>
      <c r="X39" s="13" t="s">
        <v>67</v>
      </c>
    </row>
    <row r="40" spans="1:24" ht="48" customHeight="1">
      <c r="A40" s="11" t="s">
        <v>55</v>
      </c>
      <c r="B40" s="11" t="s">
        <v>15</v>
      </c>
      <c r="C40" s="11" t="s">
        <v>1381</v>
      </c>
      <c r="D40" s="11" t="s">
        <v>1382</v>
      </c>
      <c r="E40" s="11" t="s">
        <v>1376</v>
      </c>
      <c r="F40" s="11" t="s">
        <v>59</v>
      </c>
      <c r="G40" s="11" t="s">
        <v>60</v>
      </c>
      <c r="H40" s="11" t="s">
        <v>200</v>
      </c>
      <c r="I40" s="11" t="s">
        <v>1383</v>
      </c>
      <c r="J40" s="11" t="s">
        <v>1384</v>
      </c>
      <c r="K40" s="11" t="s">
        <v>1385</v>
      </c>
      <c r="L40" s="12" t="s">
        <v>23</v>
      </c>
      <c r="M40" s="12" t="s">
        <v>66</v>
      </c>
      <c r="N40" s="11" t="s">
        <v>67</v>
      </c>
      <c r="O40" s="11" t="s">
        <v>68</v>
      </c>
      <c r="P40" s="11" t="s">
        <v>1380</v>
      </c>
      <c r="Q40" s="11" t="s">
        <v>67</v>
      </c>
      <c r="R40" s="11" t="s">
        <v>67</v>
      </c>
      <c r="S40" s="11" t="s">
        <v>1161</v>
      </c>
      <c r="T40" s="11" t="s">
        <v>1162</v>
      </c>
      <c r="U40" s="11" t="s">
        <v>1163</v>
      </c>
      <c r="V40" s="11" t="s">
        <v>1164</v>
      </c>
      <c r="W40" s="23" t="s">
        <v>67</v>
      </c>
      <c r="X40" s="13" t="s">
        <v>67</v>
      </c>
    </row>
    <row r="41" spans="1:24" ht="132" customHeight="1">
      <c r="A41" s="11" t="s">
        <v>55</v>
      </c>
      <c r="B41" s="11" t="s">
        <v>15</v>
      </c>
      <c r="C41" s="11" t="s">
        <v>1386</v>
      </c>
      <c r="D41" s="11" t="s">
        <v>1387</v>
      </c>
      <c r="E41" s="11" t="s">
        <v>1388</v>
      </c>
      <c r="F41" s="11" t="s">
        <v>59</v>
      </c>
      <c r="G41" s="11" t="s">
        <v>60</v>
      </c>
      <c r="H41" s="11" t="s">
        <v>194</v>
      </c>
      <c r="I41" s="11" t="s">
        <v>1389</v>
      </c>
      <c r="J41" s="11" t="s">
        <v>1390</v>
      </c>
      <c r="K41" s="11" t="s">
        <v>1391</v>
      </c>
      <c r="L41" s="12" t="s">
        <v>65</v>
      </c>
      <c r="M41" s="12" t="s">
        <v>66</v>
      </c>
      <c r="N41" s="11" t="s">
        <v>67</v>
      </c>
      <c r="O41" s="11" t="s">
        <v>329</v>
      </c>
      <c r="P41" s="11" t="s">
        <v>67</v>
      </c>
      <c r="Q41" s="11" t="s">
        <v>67</v>
      </c>
      <c r="R41" s="11" t="s">
        <v>67</v>
      </c>
      <c r="S41" s="11" t="s">
        <v>1136</v>
      </c>
      <c r="T41" s="11" t="s">
        <v>1392</v>
      </c>
      <c r="U41" s="11" t="s">
        <v>1138</v>
      </c>
      <c r="V41" s="11" t="s">
        <v>1393</v>
      </c>
      <c r="W41" s="23" t="s">
        <v>67</v>
      </c>
      <c r="X41" s="13" t="s">
        <v>67</v>
      </c>
    </row>
    <row r="42" spans="1:24" ht="48" customHeight="1">
      <c r="A42" s="11" t="s">
        <v>55</v>
      </c>
      <c r="B42" s="11" t="s">
        <v>15</v>
      </c>
      <c r="C42" s="11" t="s">
        <v>1394</v>
      </c>
      <c r="D42" s="11" t="s">
        <v>1395</v>
      </c>
      <c r="E42" s="11" t="s">
        <v>1396</v>
      </c>
      <c r="F42" s="11" t="s">
        <v>59</v>
      </c>
      <c r="G42" s="11" t="s">
        <v>60</v>
      </c>
      <c r="H42" s="11" t="s">
        <v>61</v>
      </c>
      <c r="I42" s="11" t="s">
        <v>1397</v>
      </c>
      <c r="J42" s="11" t="s">
        <v>1398</v>
      </c>
      <c r="K42" s="11" t="s">
        <v>1399</v>
      </c>
      <c r="L42" s="12" t="s">
        <v>65</v>
      </c>
      <c r="M42" s="12" t="s">
        <v>66</v>
      </c>
      <c r="N42" s="11" t="s">
        <v>67</v>
      </c>
      <c r="O42" s="11" t="s">
        <v>68</v>
      </c>
      <c r="P42" s="11" t="s">
        <v>244</v>
      </c>
      <c r="Q42" s="11" t="s">
        <v>67</v>
      </c>
      <c r="R42" s="11" t="s">
        <v>67</v>
      </c>
      <c r="S42" s="11" t="s">
        <v>1161</v>
      </c>
      <c r="T42" s="11" t="s">
        <v>1162</v>
      </c>
      <c r="U42" s="11" t="s">
        <v>1163</v>
      </c>
      <c r="V42" s="11" t="s">
        <v>1164</v>
      </c>
      <c r="W42" s="23" t="s">
        <v>67</v>
      </c>
      <c r="X42" s="13" t="s">
        <v>67</v>
      </c>
    </row>
    <row r="43" spans="1:24" ht="48" customHeight="1">
      <c r="A43" s="11" t="s">
        <v>55</v>
      </c>
      <c r="B43" s="11" t="s">
        <v>15</v>
      </c>
      <c r="C43" s="11" t="s">
        <v>1400</v>
      </c>
      <c r="D43" s="11" t="s">
        <v>1401</v>
      </c>
      <c r="E43" s="11" t="s">
        <v>1396</v>
      </c>
      <c r="F43" s="11" t="s">
        <v>59</v>
      </c>
      <c r="G43" s="11" t="s">
        <v>60</v>
      </c>
      <c r="H43" s="11" t="s">
        <v>194</v>
      </c>
      <c r="I43" s="11" t="s">
        <v>1402</v>
      </c>
      <c r="J43" s="11" t="s">
        <v>1403</v>
      </c>
      <c r="K43" s="11" t="s">
        <v>1404</v>
      </c>
      <c r="L43" s="12" t="s">
        <v>65</v>
      </c>
      <c r="M43" s="12" t="s">
        <v>66</v>
      </c>
      <c r="N43" s="11" t="s">
        <v>67</v>
      </c>
      <c r="O43" s="11" t="s">
        <v>68</v>
      </c>
      <c r="P43" s="11" t="s">
        <v>244</v>
      </c>
      <c r="Q43" s="11" t="s">
        <v>67</v>
      </c>
      <c r="R43" s="11" t="s">
        <v>67</v>
      </c>
      <c r="S43" s="11" t="s">
        <v>1161</v>
      </c>
      <c r="T43" s="11" t="s">
        <v>1162</v>
      </c>
      <c r="U43" s="11" t="s">
        <v>1163</v>
      </c>
      <c r="V43" s="11" t="s">
        <v>1164</v>
      </c>
      <c r="W43" s="23" t="s">
        <v>67</v>
      </c>
      <c r="X43" s="13" t="s">
        <v>67</v>
      </c>
    </row>
    <row r="44" spans="1:24" ht="48" customHeight="1">
      <c r="A44" s="11" t="s">
        <v>55</v>
      </c>
      <c r="B44" s="11" t="s">
        <v>15</v>
      </c>
      <c r="C44" s="11" t="s">
        <v>1405</v>
      </c>
      <c r="D44" s="11" t="s">
        <v>1406</v>
      </c>
      <c r="E44" s="11" t="s">
        <v>1396</v>
      </c>
      <c r="F44" s="11" t="s">
        <v>59</v>
      </c>
      <c r="G44" s="11" t="s">
        <v>60</v>
      </c>
      <c r="H44" s="11" t="s">
        <v>207</v>
      </c>
      <c r="I44" s="11" t="s">
        <v>1407</v>
      </c>
      <c r="J44" s="11" t="s">
        <v>1408</v>
      </c>
      <c r="K44" s="11" t="s">
        <v>1404</v>
      </c>
      <c r="L44" s="12" t="s">
        <v>65</v>
      </c>
      <c r="M44" s="12" t="s">
        <v>66</v>
      </c>
      <c r="N44" s="11" t="s">
        <v>67</v>
      </c>
      <c r="O44" s="11" t="s">
        <v>68</v>
      </c>
      <c r="P44" s="11" t="s">
        <v>244</v>
      </c>
      <c r="Q44" s="11" t="s">
        <v>67</v>
      </c>
      <c r="R44" s="11" t="s">
        <v>67</v>
      </c>
      <c r="S44" s="11" t="s">
        <v>1161</v>
      </c>
      <c r="T44" s="11" t="s">
        <v>1162</v>
      </c>
      <c r="U44" s="11" t="s">
        <v>1163</v>
      </c>
      <c r="V44" s="11" t="s">
        <v>1164</v>
      </c>
      <c r="W44" s="23" t="s">
        <v>67</v>
      </c>
      <c r="X44" s="13" t="s">
        <v>67</v>
      </c>
    </row>
    <row r="45" spans="1:24" ht="48" customHeight="1">
      <c r="A45" s="11" t="s">
        <v>55</v>
      </c>
      <c r="B45" s="11" t="s">
        <v>15</v>
      </c>
      <c r="C45" s="11" t="s">
        <v>1409</v>
      </c>
      <c r="D45" s="11" t="s">
        <v>1410</v>
      </c>
      <c r="E45" s="11" t="s">
        <v>1411</v>
      </c>
      <c r="F45" s="11" t="s">
        <v>59</v>
      </c>
      <c r="G45" s="11" t="s">
        <v>60</v>
      </c>
      <c r="H45" s="11" t="s">
        <v>194</v>
      </c>
      <c r="I45" s="11" t="s">
        <v>1412</v>
      </c>
      <c r="J45" s="11" t="s">
        <v>1413</v>
      </c>
      <c r="K45" s="11" t="s">
        <v>1414</v>
      </c>
      <c r="L45" s="12" t="s">
        <v>65</v>
      </c>
      <c r="M45" s="12" t="s">
        <v>66</v>
      </c>
      <c r="N45" s="11" t="s">
        <v>67</v>
      </c>
      <c r="O45" s="11" t="s">
        <v>329</v>
      </c>
      <c r="P45" s="11" t="s">
        <v>67</v>
      </c>
      <c r="Q45" s="11" t="s">
        <v>471</v>
      </c>
      <c r="R45" s="11" t="s">
        <v>67</v>
      </c>
      <c r="S45" s="11" t="s">
        <v>1136</v>
      </c>
      <c r="T45" s="11" t="s">
        <v>1287</v>
      </c>
      <c r="U45" s="11" t="s">
        <v>1138</v>
      </c>
      <c r="V45" s="11" t="s">
        <v>1415</v>
      </c>
      <c r="W45" s="23" t="s">
        <v>67</v>
      </c>
      <c r="X45" s="13" t="s">
        <v>67</v>
      </c>
    </row>
    <row r="46" spans="1:24" ht="48" customHeight="1">
      <c r="A46" s="11" t="s">
        <v>55</v>
      </c>
      <c r="B46" s="11" t="s">
        <v>15</v>
      </c>
      <c r="C46" s="11" t="s">
        <v>1416</v>
      </c>
      <c r="D46" s="11" t="s">
        <v>1417</v>
      </c>
      <c r="E46" s="11" t="s">
        <v>1418</v>
      </c>
      <c r="F46" s="11" t="s">
        <v>59</v>
      </c>
      <c r="G46" s="11" t="s">
        <v>60</v>
      </c>
      <c r="H46" s="11" t="s">
        <v>194</v>
      </c>
      <c r="I46" s="11" t="s">
        <v>1419</v>
      </c>
      <c r="J46" s="11" t="s">
        <v>1420</v>
      </c>
      <c r="K46" s="11" t="s">
        <v>1421</v>
      </c>
      <c r="L46" s="12" t="s">
        <v>65</v>
      </c>
      <c r="M46" s="12" t="s">
        <v>66</v>
      </c>
      <c r="N46" s="11" t="s">
        <v>67</v>
      </c>
      <c r="O46" s="11" t="s">
        <v>68</v>
      </c>
      <c r="P46" s="11" t="s">
        <v>1422</v>
      </c>
      <c r="Q46" s="11" t="s">
        <v>1423</v>
      </c>
      <c r="R46" s="11" t="s">
        <v>67</v>
      </c>
      <c r="S46" s="11" t="s">
        <v>1136</v>
      </c>
      <c r="T46" s="11" t="s">
        <v>1287</v>
      </c>
      <c r="U46" s="11" t="s">
        <v>1138</v>
      </c>
      <c r="V46" s="11" t="s">
        <v>1424</v>
      </c>
      <c r="W46" s="23" t="s">
        <v>67</v>
      </c>
      <c r="X46" s="13" t="s">
        <v>67</v>
      </c>
    </row>
    <row r="47" spans="1:24" ht="48" customHeight="1">
      <c r="A47" s="11" t="s">
        <v>55</v>
      </c>
      <c r="B47" s="11" t="s">
        <v>15</v>
      </c>
      <c r="C47" s="11" t="s">
        <v>1425</v>
      </c>
      <c r="D47" s="11" t="s">
        <v>1426</v>
      </c>
      <c r="E47" s="11" t="s">
        <v>1418</v>
      </c>
      <c r="F47" s="11" t="s">
        <v>59</v>
      </c>
      <c r="G47" s="11" t="s">
        <v>60</v>
      </c>
      <c r="H47" s="11" t="s">
        <v>200</v>
      </c>
      <c r="I47" s="11" t="s">
        <v>1427</v>
      </c>
      <c r="J47" s="11" t="s">
        <v>1428</v>
      </c>
      <c r="K47" s="11" t="s">
        <v>1429</v>
      </c>
      <c r="L47" s="12" t="s">
        <v>23</v>
      </c>
      <c r="M47" s="12" t="s">
        <v>66</v>
      </c>
      <c r="N47" s="11" t="s">
        <v>67</v>
      </c>
      <c r="O47" s="11" t="s">
        <v>68</v>
      </c>
      <c r="P47" s="11" t="s">
        <v>1422</v>
      </c>
      <c r="Q47" s="11" t="s">
        <v>1423</v>
      </c>
      <c r="R47" s="11" t="s">
        <v>67</v>
      </c>
      <c r="S47" s="11" t="s">
        <v>1136</v>
      </c>
      <c r="T47" s="11" t="s">
        <v>1287</v>
      </c>
      <c r="U47" s="11" t="s">
        <v>1138</v>
      </c>
      <c r="V47" s="11" t="s">
        <v>1424</v>
      </c>
      <c r="W47" s="23" t="s">
        <v>67</v>
      </c>
      <c r="X47" s="13" t="s">
        <v>67</v>
      </c>
    </row>
    <row r="48" spans="1:24" ht="48" customHeight="1">
      <c r="A48" s="11" t="s">
        <v>55</v>
      </c>
      <c r="B48" s="11" t="s">
        <v>15</v>
      </c>
      <c r="C48" s="11" t="s">
        <v>1430</v>
      </c>
      <c r="D48" s="11" t="s">
        <v>1431</v>
      </c>
      <c r="E48" s="11" t="s">
        <v>1432</v>
      </c>
      <c r="F48" s="11" t="s">
        <v>59</v>
      </c>
      <c r="G48" s="11" t="s">
        <v>60</v>
      </c>
      <c r="H48" s="11" t="s">
        <v>194</v>
      </c>
      <c r="I48" s="11" t="s">
        <v>1433</v>
      </c>
      <c r="J48" s="11" t="s">
        <v>1434</v>
      </c>
      <c r="K48" s="11" t="s">
        <v>1435</v>
      </c>
      <c r="L48" s="12" t="s">
        <v>65</v>
      </c>
      <c r="M48" s="12" t="s">
        <v>66</v>
      </c>
      <c r="N48" s="11" t="s">
        <v>67</v>
      </c>
      <c r="O48" s="11" t="s">
        <v>329</v>
      </c>
      <c r="P48" s="11" t="s">
        <v>67</v>
      </c>
      <c r="Q48" s="11" t="s">
        <v>471</v>
      </c>
      <c r="R48" s="11" t="s">
        <v>67</v>
      </c>
      <c r="S48" s="11" t="s">
        <v>1136</v>
      </c>
      <c r="T48" s="11" t="s">
        <v>1287</v>
      </c>
      <c r="U48" s="11" t="s">
        <v>1138</v>
      </c>
      <c r="V48" s="11" t="s">
        <v>1436</v>
      </c>
      <c r="W48" s="23" t="s">
        <v>67</v>
      </c>
      <c r="X48" s="13" t="s">
        <v>67</v>
      </c>
    </row>
    <row r="49" spans="1:24" ht="48" customHeight="1">
      <c r="A49" s="11" t="s">
        <v>55</v>
      </c>
      <c r="B49" s="11" t="s">
        <v>15</v>
      </c>
      <c r="C49" s="11" t="s">
        <v>1437</v>
      </c>
      <c r="D49" s="11" t="s">
        <v>1438</v>
      </c>
      <c r="E49" s="11" t="s">
        <v>1439</v>
      </c>
      <c r="F49" s="11" t="s">
        <v>59</v>
      </c>
      <c r="G49" s="11" t="s">
        <v>60</v>
      </c>
      <c r="H49" s="11" t="s">
        <v>194</v>
      </c>
      <c r="I49" s="11" t="s">
        <v>1440</v>
      </c>
      <c r="J49" s="11" t="s">
        <v>1441</v>
      </c>
      <c r="K49" s="11" t="s">
        <v>1442</v>
      </c>
      <c r="L49" s="12" t="s">
        <v>65</v>
      </c>
      <c r="M49" s="12" t="s">
        <v>66</v>
      </c>
      <c r="N49" s="11" t="s">
        <v>67</v>
      </c>
      <c r="O49" s="11" t="s">
        <v>329</v>
      </c>
      <c r="P49" s="11" t="s">
        <v>67</v>
      </c>
      <c r="Q49" s="11" t="s">
        <v>471</v>
      </c>
      <c r="R49" s="11" t="s">
        <v>67</v>
      </c>
      <c r="S49" s="11" t="s">
        <v>1136</v>
      </c>
      <c r="T49" s="11" t="s">
        <v>1287</v>
      </c>
      <c r="U49" s="11" t="s">
        <v>1138</v>
      </c>
      <c r="V49" s="11" t="s">
        <v>1443</v>
      </c>
      <c r="W49" s="23" t="s">
        <v>67</v>
      </c>
      <c r="X49" s="13" t="s">
        <v>67</v>
      </c>
    </row>
    <row r="50" spans="1:24" ht="58.5" customHeight="1">
      <c r="A50" s="11" t="s">
        <v>55</v>
      </c>
      <c r="B50" s="11" t="s">
        <v>15</v>
      </c>
      <c r="C50" s="11" t="s">
        <v>1444</v>
      </c>
      <c r="D50" s="11" t="s">
        <v>1445</v>
      </c>
      <c r="E50" s="11" t="s">
        <v>1446</v>
      </c>
      <c r="F50" s="11" t="s">
        <v>59</v>
      </c>
      <c r="G50" s="11" t="s">
        <v>60</v>
      </c>
      <c r="H50" s="11" t="s">
        <v>194</v>
      </c>
      <c r="I50" s="11" t="s">
        <v>1447</v>
      </c>
      <c r="J50" s="11" t="s">
        <v>1448</v>
      </c>
      <c r="K50" s="11" t="s">
        <v>1449</v>
      </c>
      <c r="L50" s="12" t="s">
        <v>65</v>
      </c>
      <c r="M50" s="12" t="s">
        <v>66</v>
      </c>
      <c r="N50" s="11" t="s">
        <v>67</v>
      </c>
      <c r="O50" s="11" t="s">
        <v>68</v>
      </c>
      <c r="P50" s="11" t="s">
        <v>1146</v>
      </c>
      <c r="Q50" s="11" t="s">
        <v>67</v>
      </c>
      <c r="R50" s="11" t="s">
        <v>67</v>
      </c>
      <c r="S50" s="11" t="s">
        <v>1136</v>
      </c>
      <c r="T50" s="11" t="s">
        <v>1450</v>
      </c>
      <c r="U50" s="11" t="s">
        <v>1138</v>
      </c>
      <c r="V50" s="11" t="s">
        <v>1451</v>
      </c>
      <c r="W50" s="23" t="s">
        <v>67</v>
      </c>
      <c r="X50" s="13" t="s">
        <v>67</v>
      </c>
    </row>
    <row r="51" spans="1:24" ht="61.5" customHeight="1">
      <c r="A51" s="11" t="s">
        <v>55</v>
      </c>
      <c r="B51" s="11" t="s">
        <v>15</v>
      </c>
      <c r="C51" s="11" t="s">
        <v>1452</v>
      </c>
      <c r="D51" s="11" t="s">
        <v>1453</v>
      </c>
      <c r="E51" s="11" t="s">
        <v>1446</v>
      </c>
      <c r="F51" s="11" t="s">
        <v>59</v>
      </c>
      <c r="G51" s="11" t="s">
        <v>60</v>
      </c>
      <c r="H51" s="11" t="s">
        <v>200</v>
      </c>
      <c r="I51" s="11" t="s">
        <v>1454</v>
      </c>
      <c r="J51" s="11" t="s">
        <v>1455</v>
      </c>
      <c r="K51" s="11" t="s">
        <v>1456</v>
      </c>
      <c r="L51" s="12" t="s">
        <v>23</v>
      </c>
      <c r="M51" s="12" t="s">
        <v>66</v>
      </c>
      <c r="N51" s="11" t="s">
        <v>67</v>
      </c>
      <c r="O51" s="11" t="s">
        <v>68</v>
      </c>
      <c r="P51" s="11" t="s">
        <v>1146</v>
      </c>
      <c r="Q51" s="11" t="s">
        <v>67</v>
      </c>
      <c r="R51" s="11" t="s">
        <v>67</v>
      </c>
      <c r="S51" s="11" t="s">
        <v>1136</v>
      </c>
      <c r="T51" s="11" t="s">
        <v>1450</v>
      </c>
      <c r="U51" s="11" t="s">
        <v>1138</v>
      </c>
      <c r="V51" s="11" t="s">
        <v>1451</v>
      </c>
      <c r="W51" s="23" t="s">
        <v>67</v>
      </c>
      <c r="X51" s="13" t="s">
        <v>67</v>
      </c>
    </row>
    <row r="52" spans="1:24" ht="61.5" customHeight="1">
      <c r="A52" s="11" t="s">
        <v>55</v>
      </c>
      <c r="B52" s="11" t="s">
        <v>15</v>
      </c>
      <c r="C52" s="11" t="s">
        <v>1457</v>
      </c>
      <c r="D52" s="11" t="s">
        <v>1458</v>
      </c>
      <c r="E52" s="11" t="s">
        <v>1459</v>
      </c>
      <c r="F52" s="11" t="s">
        <v>59</v>
      </c>
      <c r="G52" s="11" t="s">
        <v>60</v>
      </c>
      <c r="H52" s="11" t="s">
        <v>194</v>
      </c>
      <c r="I52" s="11" t="s">
        <v>1460</v>
      </c>
      <c r="J52" s="11" t="s">
        <v>1461</v>
      </c>
      <c r="K52" s="11" t="s">
        <v>1462</v>
      </c>
      <c r="L52" s="12" t="s">
        <v>65</v>
      </c>
      <c r="M52" s="12" t="s">
        <v>66</v>
      </c>
      <c r="N52" s="11" t="s">
        <v>67</v>
      </c>
      <c r="O52" s="11" t="s">
        <v>68</v>
      </c>
      <c r="P52" s="11" t="s">
        <v>1146</v>
      </c>
      <c r="Q52" s="11" t="s">
        <v>67</v>
      </c>
      <c r="R52" s="11" t="s">
        <v>67</v>
      </c>
      <c r="S52" s="11" t="s">
        <v>1136</v>
      </c>
      <c r="T52" s="11" t="s">
        <v>1463</v>
      </c>
      <c r="U52" s="11" t="s">
        <v>1138</v>
      </c>
      <c r="V52" s="11" t="s">
        <v>1464</v>
      </c>
      <c r="W52" s="23" t="s">
        <v>67</v>
      </c>
      <c r="X52" s="13" t="s">
        <v>67</v>
      </c>
    </row>
    <row r="53" spans="1:24" ht="61.5" customHeight="1">
      <c r="A53" s="11" t="s">
        <v>55</v>
      </c>
      <c r="B53" s="11" t="s">
        <v>15</v>
      </c>
      <c r="C53" s="11" t="s">
        <v>1465</v>
      </c>
      <c r="D53" s="11" t="s">
        <v>1466</v>
      </c>
      <c r="E53" s="11" t="s">
        <v>1459</v>
      </c>
      <c r="F53" s="11" t="s">
        <v>59</v>
      </c>
      <c r="G53" s="11" t="s">
        <v>60</v>
      </c>
      <c r="H53" s="11" t="s">
        <v>200</v>
      </c>
      <c r="I53" s="11" t="s">
        <v>1467</v>
      </c>
      <c r="J53" s="11" t="s">
        <v>1468</v>
      </c>
      <c r="K53" s="11" t="s">
        <v>1469</v>
      </c>
      <c r="L53" s="12" t="s">
        <v>23</v>
      </c>
      <c r="M53" s="12" t="s">
        <v>66</v>
      </c>
      <c r="N53" s="11" t="s">
        <v>67</v>
      </c>
      <c r="O53" s="11" t="s">
        <v>68</v>
      </c>
      <c r="P53" s="11" t="s">
        <v>1146</v>
      </c>
      <c r="Q53" s="11" t="s">
        <v>67</v>
      </c>
      <c r="R53" s="11" t="s">
        <v>67</v>
      </c>
      <c r="S53" s="11" t="s">
        <v>1136</v>
      </c>
      <c r="T53" s="11" t="s">
        <v>1463</v>
      </c>
      <c r="U53" s="11" t="s">
        <v>1138</v>
      </c>
      <c r="V53" s="11" t="s">
        <v>1464</v>
      </c>
      <c r="W53" s="23" t="s">
        <v>67</v>
      </c>
      <c r="X53" s="13" t="s">
        <v>67</v>
      </c>
    </row>
    <row r="54" spans="1:24" ht="48" customHeight="1">
      <c r="A54" s="11" t="s">
        <v>55</v>
      </c>
      <c r="B54" s="11" t="s">
        <v>15</v>
      </c>
      <c r="C54" s="11" t="s">
        <v>1470</v>
      </c>
      <c r="D54" s="11" t="s">
        <v>1471</v>
      </c>
      <c r="E54" s="11" t="s">
        <v>1472</v>
      </c>
      <c r="F54" s="11" t="s">
        <v>59</v>
      </c>
      <c r="G54" s="11" t="s">
        <v>60</v>
      </c>
      <c r="H54" s="11" t="s">
        <v>194</v>
      </c>
      <c r="I54" s="11" t="s">
        <v>1473</v>
      </c>
      <c r="J54" s="11" t="s">
        <v>1474</v>
      </c>
      <c r="K54" s="11" t="s">
        <v>1475</v>
      </c>
      <c r="L54" s="12" t="s">
        <v>65</v>
      </c>
      <c r="M54" s="12" t="s">
        <v>66</v>
      </c>
      <c r="N54" s="11" t="s">
        <v>67</v>
      </c>
      <c r="O54" s="11" t="s">
        <v>68</v>
      </c>
      <c r="P54" s="11" t="s">
        <v>1146</v>
      </c>
      <c r="Q54" s="11">
        <v>12345678</v>
      </c>
      <c r="R54" s="11" t="s">
        <v>67</v>
      </c>
      <c r="S54" s="11" t="s">
        <v>1136</v>
      </c>
      <c r="T54" s="11" t="s">
        <v>1287</v>
      </c>
      <c r="U54" s="11" t="s">
        <v>1138</v>
      </c>
      <c r="V54" s="11" t="s">
        <v>1476</v>
      </c>
      <c r="W54" s="23" t="s">
        <v>67</v>
      </c>
      <c r="X54" s="13" t="s">
        <v>67</v>
      </c>
    </row>
    <row r="55" spans="1:24" ht="48" customHeight="1">
      <c r="A55" s="11" t="s">
        <v>55</v>
      </c>
      <c r="B55" s="11" t="s">
        <v>15</v>
      </c>
      <c r="C55" s="11" t="s">
        <v>1477</v>
      </c>
      <c r="D55" s="11" t="s">
        <v>1478</v>
      </c>
      <c r="E55" s="11" t="s">
        <v>1472</v>
      </c>
      <c r="F55" s="11" t="s">
        <v>59</v>
      </c>
      <c r="G55" s="11" t="s">
        <v>60</v>
      </c>
      <c r="H55" s="11" t="s">
        <v>200</v>
      </c>
      <c r="I55" s="11" t="s">
        <v>1479</v>
      </c>
      <c r="J55" s="11" t="s">
        <v>1480</v>
      </c>
      <c r="K55" s="11" t="s">
        <v>1481</v>
      </c>
      <c r="L55" s="12" t="s">
        <v>23</v>
      </c>
      <c r="M55" s="12" t="s">
        <v>66</v>
      </c>
      <c r="N55" s="11" t="s">
        <v>67</v>
      </c>
      <c r="O55" s="11" t="s">
        <v>68</v>
      </c>
      <c r="P55" s="11" t="s">
        <v>1146</v>
      </c>
      <c r="Q55" s="11">
        <v>12345678</v>
      </c>
      <c r="R55" s="11" t="s">
        <v>67</v>
      </c>
      <c r="S55" s="11" t="s">
        <v>1136</v>
      </c>
      <c r="T55" s="11" t="s">
        <v>1287</v>
      </c>
      <c r="U55" s="11" t="s">
        <v>1138</v>
      </c>
      <c r="V55" s="11" t="s">
        <v>1476</v>
      </c>
      <c r="W55" s="23" t="s">
        <v>67</v>
      </c>
      <c r="X55" s="13" t="s">
        <v>67</v>
      </c>
    </row>
    <row r="56" spans="1:24" ht="52.5" customHeight="1">
      <c r="A56" s="11" t="s">
        <v>55</v>
      </c>
      <c r="B56" s="11" t="s">
        <v>15</v>
      </c>
      <c r="C56" s="11" t="s">
        <v>1482</v>
      </c>
      <c r="D56" s="11" t="s">
        <v>1483</v>
      </c>
      <c r="E56" s="11" t="s">
        <v>1484</v>
      </c>
      <c r="F56" s="11" t="s">
        <v>59</v>
      </c>
      <c r="G56" s="11" t="s">
        <v>60</v>
      </c>
      <c r="H56" s="11" t="s">
        <v>194</v>
      </c>
      <c r="I56" s="11" t="s">
        <v>1485</v>
      </c>
      <c r="J56" s="11" t="s">
        <v>1486</v>
      </c>
      <c r="K56" s="11" t="s">
        <v>1487</v>
      </c>
      <c r="L56" s="12" t="s">
        <v>65</v>
      </c>
      <c r="M56" s="12" t="s">
        <v>66</v>
      </c>
      <c r="N56" s="11" t="s">
        <v>67</v>
      </c>
      <c r="O56" s="11" t="s">
        <v>68</v>
      </c>
      <c r="P56" s="11" t="s">
        <v>883</v>
      </c>
      <c r="Q56" s="11" t="s">
        <v>67</v>
      </c>
      <c r="R56" s="11" t="s">
        <v>67</v>
      </c>
      <c r="S56" s="11" t="s">
        <v>1136</v>
      </c>
      <c r="T56" s="11" t="s">
        <v>1488</v>
      </c>
      <c r="U56" s="11" t="s">
        <v>1138</v>
      </c>
      <c r="V56" s="11" t="s">
        <v>1489</v>
      </c>
      <c r="W56" s="23" t="s">
        <v>67</v>
      </c>
      <c r="X56" s="13" t="s">
        <v>67</v>
      </c>
    </row>
    <row r="57" spans="1:24" ht="75.95" customHeight="1">
      <c r="A57" s="11" t="s">
        <v>55</v>
      </c>
      <c r="B57" s="11" t="s">
        <v>15</v>
      </c>
      <c r="C57" s="11" t="s">
        <v>1490</v>
      </c>
      <c r="D57" s="11" t="s">
        <v>1491</v>
      </c>
      <c r="E57" s="11" t="s">
        <v>1484</v>
      </c>
      <c r="F57" s="11" t="s">
        <v>59</v>
      </c>
      <c r="G57" s="11" t="s">
        <v>60</v>
      </c>
      <c r="H57" s="11" t="s">
        <v>200</v>
      </c>
      <c r="I57" s="11" t="s">
        <v>1492</v>
      </c>
      <c r="J57" s="11" t="s">
        <v>1493</v>
      </c>
      <c r="K57" s="11" t="s">
        <v>1494</v>
      </c>
      <c r="L57" s="12" t="s">
        <v>23</v>
      </c>
      <c r="M57" s="12" t="s">
        <v>66</v>
      </c>
      <c r="N57" s="11" t="s">
        <v>67</v>
      </c>
      <c r="O57" s="11" t="s">
        <v>68</v>
      </c>
      <c r="P57" s="11" t="s">
        <v>883</v>
      </c>
      <c r="Q57" s="11" t="s">
        <v>67</v>
      </c>
      <c r="R57" s="11" t="s">
        <v>67</v>
      </c>
      <c r="S57" s="11" t="s">
        <v>1136</v>
      </c>
      <c r="T57" s="11" t="s">
        <v>1488</v>
      </c>
      <c r="U57" s="11" t="s">
        <v>1138</v>
      </c>
      <c r="V57" s="11" t="s">
        <v>1489</v>
      </c>
      <c r="W57" s="23" t="s">
        <v>67</v>
      </c>
      <c r="X57" s="13" t="s">
        <v>67</v>
      </c>
    </row>
    <row r="58" spans="1:24" ht="48" customHeight="1">
      <c r="A58" s="11" t="s">
        <v>55</v>
      </c>
      <c r="B58" s="11" t="s">
        <v>15</v>
      </c>
      <c r="C58" s="11" t="s">
        <v>1495</v>
      </c>
      <c r="D58" s="11" t="s">
        <v>1496</v>
      </c>
      <c r="E58" s="11" t="s">
        <v>1497</v>
      </c>
      <c r="F58" s="11" t="s">
        <v>59</v>
      </c>
      <c r="G58" s="11" t="s">
        <v>60</v>
      </c>
      <c r="H58" s="11" t="s">
        <v>194</v>
      </c>
      <c r="I58" s="11" t="s">
        <v>1498</v>
      </c>
      <c r="J58" s="11" t="s">
        <v>1499</v>
      </c>
      <c r="K58" s="11" t="s">
        <v>1500</v>
      </c>
      <c r="L58" s="12" t="s">
        <v>65</v>
      </c>
      <c r="M58" s="12" t="s">
        <v>66</v>
      </c>
      <c r="N58" s="11" t="s">
        <v>67</v>
      </c>
      <c r="O58" s="11" t="s">
        <v>68</v>
      </c>
      <c r="P58" s="11" t="s">
        <v>67</v>
      </c>
      <c r="Q58" s="11" t="s">
        <v>1501</v>
      </c>
      <c r="R58" s="11" t="s">
        <v>67</v>
      </c>
      <c r="S58" s="11" t="s">
        <v>1136</v>
      </c>
      <c r="T58" s="11" t="s">
        <v>1287</v>
      </c>
      <c r="U58" s="11" t="s">
        <v>1138</v>
      </c>
      <c r="V58" s="11" t="s">
        <v>1502</v>
      </c>
      <c r="W58" s="23" t="s">
        <v>67</v>
      </c>
      <c r="X58" s="13" t="s">
        <v>67</v>
      </c>
    </row>
    <row r="59" spans="1:24" ht="48" customHeight="1">
      <c r="A59" s="11" t="s">
        <v>55</v>
      </c>
      <c r="B59" s="11" t="s">
        <v>15</v>
      </c>
      <c r="C59" s="11" t="s">
        <v>1503</v>
      </c>
      <c r="D59" s="11" t="s">
        <v>1504</v>
      </c>
      <c r="E59" s="11" t="s">
        <v>1505</v>
      </c>
      <c r="F59" s="11" t="s">
        <v>59</v>
      </c>
      <c r="G59" s="11" t="s">
        <v>60</v>
      </c>
      <c r="H59" s="11" t="s">
        <v>194</v>
      </c>
      <c r="I59" s="11" t="s">
        <v>1506</v>
      </c>
      <c r="J59" s="11" t="s">
        <v>1507</v>
      </c>
      <c r="K59" s="11" t="s">
        <v>1508</v>
      </c>
      <c r="L59" s="12" t="s">
        <v>65</v>
      </c>
      <c r="M59" s="12" t="s">
        <v>66</v>
      </c>
      <c r="N59" s="11" t="s">
        <v>67</v>
      </c>
      <c r="O59" s="11" t="s">
        <v>329</v>
      </c>
      <c r="P59" s="11" t="s">
        <v>67</v>
      </c>
      <c r="Q59" s="11" t="s">
        <v>471</v>
      </c>
      <c r="R59" s="11" t="s">
        <v>67</v>
      </c>
      <c r="S59" s="11" t="s">
        <v>1136</v>
      </c>
      <c r="T59" s="11" t="s">
        <v>1287</v>
      </c>
      <c r="U59" s="11" t="s">
        <v>1138</v>
      </c>
      <c r="V59" s="11" t="s">
        <v>1509</v>
      </c>
      <c r="W59" s="23" t="s">
        <v>67</v>
      </c>
      <c r="X59" s="13" t="s">
        <v>67</v>
      </c>
    </row>
    <row r="60" spans="1:24" ht="48" customHeight="1">
      <c r="A60" s="11" t="s">
        <v>55</v>
      </c>
      <c r="B60" s="11" t="s">
        <v>15</v>
      </c>
      <c r="C60" s="11" t="s">
        <v>1510</v>
      </c>
      <c r="D60" s="11" t="s">
        <v>1511</v>
      </c>
      <c r="E60" s="11" t="s">
        <v>1512</v>
      </c>
      <c r="F60" s="11" t="s">
        <v>59</v>
      </c>
      <c r="G60" s="11" t="s">
        <v>60</v>
      </c>
      <c r="H60" s="11" t="s">
        <v>61</v>
      </c>
      <c r="I60" s="11" t="s">
        <v>1513</v>
      </c>
      <c r="J60" s="11" t="s">
        <v>1514</v>
      </c>
      <c r="K60" s="11" t="s">
        <v>1515</v>
      </c>
      <c r="L60" s="12" t="s">
        <v>65</v>
      </c>
      <c r="M60" s="12" t="s">
        <v>66</v>
      </c>
      <c r="N60" s="11" t="s">
        <v>67</v>
      </c>
      <c r="O60" s="11" t="s">
        <v>68</v>
      </c>
      <c r="P60" s="11" t="s">
        <v>67</v>
      </c>
      <c r="Q60" s="11" t="s">
        <v>1516</v>
      </c>
      <c r="R60" s="11" t="s">
        <v>67</v>
      </c>
      <c r="S60" s="11" t="s">
        <v>1161</v>
      </c>
      <c r="T60" s="11" t="s">
        <v>1162</v>
      </c>
      <c r="U60" s="11" t="s">
        <v>1163</v>
      </c>
      <c r="V60" s="11" t="s">
        <v>1164</v>
      </c>
      <c r="W60" s="23" t="s">
        <v>67</v>
      </c>
      <c r="X60" s="13" t="s">
        <v>67</v>
      </c>
    </row>
    <row r="61" spans="1:24" ht="48" customHeight="1">
      <c r="A61" s="11" t="s">
        <v>55</v>
      </c>
      <c r="B61" s="11" t="s">
        <v>15</v>
      </c>
      <c r="C61" s="11" t="s">
        <v>1517</v>
      </c>
      <c r="D61" s="11" t="s">
        <v>1518</v>
      </c>
      <c r="E61" s="11" t="s">
        <v>1512</v>
      </c>
      <c r="F61" s="11" t="s">
        <v>59</v>
      </c>
      <c r="G61" s="11" t="s">
        <v>60</v>
      </c>
      <c r="H61" s="11" t="s">
        <v>194</v>
      </c>
      <c r="I61" s="11" t="s">
        <v>1519</v>
      </c>
      <c r="J61" s="11" t="s">
        <v>1520</v>
      </c>
      <c r="K61" s="11" t="s">
        <v>1521</v>
      </c>
      <c r="L61" s="12" t="s">
        <v>65</v>
      </c>
      <c r="M61" s="12" t="s">
        <v>66</v>
      </c>
      <c r="N61" s="11" t="s">
        <v>67</v>
      </c>
      <c r="O61" s="11" t="s">
        <v>68</v>
      </c>
      <c r="P61" s="11" t="s">
        <v>67</v>
      </c>
      <c r="Q61" s="11" t="s">
        <v>1516</v>
      </c>
      <c r="R61" s="11" t="s">
        <v>67</v>
      </c>
      <c r="S61" s="11" t="s">
        <v>1161</v>
      </c>
      <c r="T61" s="11" t="s">
        <v>1162</v>
      </c>
      <c r="U61" s="11" t="s">
        <v>1163</v>
      </c>
      <c r="V61" s="11" t="s">
        <v>1164</v>
      </c>
      <c r="W61" s="23" t="s">
        <v>67</v>
      </c>
      <c r="X61" s="13" t="s">
        <v>67</v>
      </c>
    </row>
    <row r="62" spans="1:24" ht="48" customHeight="1">
      <c r="A62" s="11" t="s">
        <v>55</v>
      </c>
      <c r="B62" s="11" t="s">
        <v>15</v>
      </c>
      <c r="C62" s="11" t="s">
        <v>1522</v>
      </c>
      <c r="D62" s="11" t="s">
        <v>1523</v>
      </c>
      <c r="E62" s="11" t="s">
        <v>1524</v>
      </c>
      <c r="F62" s="11" t="s">
        <v>59</v>
      </c>
      <c r="G62" s="11" t="s">
        <v>60</v>
      </c>
      <c r="H62" s="11" t="s">
        <v>194</v>
      </c>
      <c r="I62" s="11" t="s">
        <v>1525</v>
      </c>
      <c r="J62" s="11" t="s">
        <v>1526</v>
      </c>
      <c r="K62" s="11" t="s">
        <v>1527</v>
      </c>
      <c r="L62" s="12" t="s">
        <v>65</v>
      </c>
      <c r="M62" s="12" t="s">
        <v>67</v>
      </c>
      <c r="N62" s="11" t="s">
        <v>67</v>
      </c>
      <c r="O62" s="11" t="s">
        <v>92</v>
      </c>
      <c r="P62" s="11" t="s">
        <v>67</v>
      </c>
      <c r="Q62" s="11" t="s">
        <v>343</v>
      </c>
      <c r="R62" s="11" t="s">
        <v>67</v>
      </c>
      <c r="S62" s="11" t="s">
        <v>1136</v>
      </c>
      <c r="T62" s="11" t="s">
        <v>1287</v>
      </c>
      <c r="U62" s="11" t="s">
        <v>1138</v>
      </c>
      <c r="V62" s="11" t="s">
        <v>1528</v>
      </c>
      <c r="W62" s="23" t="s">
        <v>67</v>
      </c>
      <c r="X62" s="13" t="s">
        <v>67</v>
      </c>
    </row>
    <row r="63" spans="1:24" ht="48" customHeight="1">
      <c r="A63" s="11" t="s">
        <v>55</v>
      </c>
      <c r="B63" s="11" t="s">
        <v>15</v>
      </c>
      <c r="C63" s="11" t="s">
        <v>1529</v>
      </c>
      <c r="D63" s="11" t="s">
        <v>1530</v>
      </c>
      <c r="E63" s="11" t="s">
        <v>1531</v>
      </c>
      <c r="F63" s="11" t="s">
        <v>59</v>
      </c>
      <c r="G63" s="11" t="s">
        <v>60</v>
      </c>
      <c r="H63" s="11" t="s">
        <v>194</v>
      </c>
      <c r="I63" s="11" t="s">
        <v>1532</v>
      </c>
      <c r="J63" s="11" t="s">
        <v>1533</v>
      </c>
      <c r="K63" s="11" t="s">
        <v>1534</v>
      </c>
      <c r="L63" s="12" t="s">
        <v>65</v>
      </c>
      <c r="M63" s="12" t="s">
        <v>66</v>
      </c>
      <c r="N63" s="11" t="s">
        <v>67</v>
      </c>
      <c r="O63" s="11" t="s">
        <v>68</v>
      </c>
      <c r="P63" s="11" t="s">
        <v>1422</v>
      </c>
      <c r="Q63" s="11" t="s">
        <v>1535</v>
      </c>
      <c r="R63" s="11" t="s">
        <v>67</v>
      </c>
      <c r="S63" s="11" t="s">
        <v>1136</v>
      </c>
      <c r="T63" s="11" t="s">
        <v>1287</v>
      </c>
      <c r="U63" s="11" t="s">
        <v>1138</v>
      </c>
      <c r="V63" s="11" t="s">
        <v>1536</v>
      </c>
      <c r="W63" s="23" t="s">
        <v>67</v>
      </c>
      <c r="X63" s="13" t="s">
        <v>67</v>
      </c>
    </row>
    <row r="64" spans="1:24" ht="48" customHeight="1">
      <c r="A64" s="11" t="s">
        <v>55</v>
      </c>
      <c r="B64" s="11" t="s">
        <v>15</v>
      </c>
      <c r="C64" s="11" t="s">
        <v>1537</v>
      </c>
      <c r="D64" s="11" t="s">
        <v>1538</v>
      </c>
      <c r="E64" s="11" t="s">
        <v>1531</v>
      </c>
      <c r="F64" s="11" t="s">
        <v>59</v>
      </c>
      <c r="G64" s="11" t="s">
        <v>60</v>
      </c>
      <c r="H64" s="11" t="s">
        <v>200</v>
      </c>
      <c r="I64" s="11" t="s">
        <v>1539</v>
      </c>
      <c r="J64" s="11" t="s">
        <v>1540</v>
      </c>
      <c r="K64" s="11" t="s">
        <v>1541</v>
      </c>
      <c r="L64" s="12" t="s">
        <v>23</v>
      </c>
      <c r="M64" s="12" t="s">
        <v>66</v>
      </c>
      <c r="N64" s="11" t="s">
        <v>67</v>
      </c>
      <c r="O64" s="11" t="s">
        <v>68</v>
      </c>
      <c r="P64" s="11" t="s">
        <v>1422</v>
      </c>
      <c r="Q64" s="11" t="s">
        <v>1535</v>
      </c>
      <c r="R64" s="11" t="s">
        <v>67</v>
      </c>
      <c r="S64" s="11" t="s">
        <v>1136</v>
      </c>
      <c r="T64" s="11" t="s">
        <v>1287</v>
      </c>
      <c r="U64" s="11" t="s">
        <v>1138</v>
      </c>
      <c r="V64" s="11" t="s">
        <v>1536</v>
      </c>
      <c r="W64" s="23" t="s">
        <v>67</v>
      </c>
      <c r="X64" s="13" t="s">
        <v>67</v>
      </c>
    </row>
    <row r="65" spans="1:24" ht="48" customHeight="1">
      <c r="A65" s="11" t="s">
        <v>55</v>
      </c>
      <c r="B65" s="11" t="s">
        <v>15</v>
      </c>
      <c r="C65" s="11" t="s">
        <v>1542</v>
      </c>
      <c r="D65" s="11" t="s">
        <v>1543</v>
      </c>
      <c r="E65" s="11" t="s">
        <v>1544</v>
      </c>
      <c r="F65" s="11" t="s">
        <v>59</v>
      </c>
      <c r="G65" s="11" t="s">
        <v>60</v>
      </c>
      <c r="H65" s="11" t="s">
        <v>194</v>
      </c>
      <c r="I65" s="11" t="s">
        <v>1545</v>
      </c>
      <c r="J65" s="11" t="s">
        <v>1546</v>
      </c>
      <c r="K65" s="11" t="s">
        <v>1547</v>
      </c>
      <c r="L65" s="12" t="s">
        <v>65</v>
      </c>
      <c r="M65" s="12" t="s">
        <v>66</v>
      </c>
      <c r="N65" s="11" t="s">
        <v>67</v>
      </c>
      <c r="O65" s="11" t="s">
        <v>68</v>
      </c>
      <c r="P65" s="11" t="s">
        <v>1422</v>
      </c>
      <c r="Q65" s="11" t="s">
        <v>1548</v>
      </c>
      <c r="R65" s="11" t="s">
        <v>67</v>
      </c>
      <c r="S65" s="11" t="s">
        <v>1136</v>
      </c>
      <c r="T65" s="11" t="s">
        <v>1287</v>
      </c>
      <c r="U65" s="11" t="s">
        <v>1138</v>
      </c>
      <c r="V65" s="11" t="s">
        <v>1549</v>
      </c>
      <c r="W65" s="23" t="s">
        <v>67</v>
      </c>
      <c r="X65" s="13" t="s">
        <v>67</v>
      </c>
    </row>
    <row r="66" spans="1:24" ht="48" customHeight="1">
      <c r="A66" s="11" t="s">
        <v>55</v>
      </c>
      <c r="B66" s="11" t="s">
        <v>15</v>
      </c>
      <c r="C66" s="11" t="s">
        <v>1550</v>
      </c>
      <c r="D66" s="11" t="s">
        <v>1551</v>
      </c>
      <c r="E66" s="11" t="s">
        <v>1544</v>
      </c>
      <c r="F66" s="11" t="s">
        <v>59</v>
      </c>
      <c r="G66" s="11" t="s">
        <v>60</v>
      </c>
      <c r="H66" s="11" t="s">
        <v>200</v>
      </c>
      <c r="I66" s="11" t="s">
        <v>1552</v>
      </c>
      <c r="J66" s="11" t="s">
        <v>1553</v>
      </c>
      <c r="K66" s="11" t="s">
        <v>1554</v>
      </c>
      <c r="L66" s="12" t="s">
        <v>23</v>
      </c>
      <c r="M66" s="12" t="s">
        <v>66</v>
      </c>
      <c r="N66" s="11" t="s">
        <v>67</v>
      </c>
      <c r="O66" s="11" t="s">
        <v>68</v>
      </c>
      <c r="P66" s="11" t="s">
        <v>1422</v>
      </c>
      <c r="Q66" s="11" t="s">
        <v>1548</v>
      </c>
      <c r="R66" s="11" t="s">
        <v>67</v>
      </c>
      <c r="S66" s="11" t="s">
        <v>1136</v>
      </c>
      <c r="T66" s="11" t="s">
        <v>1287</v>
      </c>
      <c r="U66" s="11" t="s">
        <v>1138</v>
      </c>
      <c r="V66" s="11" t="s">
        <v>1549</v>
      </c>
      <c r="W66" s="23" t="s">
        <v>67</v>
      </c>
      <c r="X66" s="13" t="s">
        <v>67</v>
      </c>
    </row>
    <row r="67" spans="1:24" ht="48" customHeight="1">
      <c r="A67" s="11" t="s">
        <v>55</v>
      </c>
      <c r="B67" s="11" t="s">
        <v>15</v>
      </c>
      <c r="C67" s="11" t="s">
        <v>1555</v>
      </c>
      <c r="D67" s="11" t="s">
        <v>1556</v>
      </c>
      <c r="E67" s="11" t="s">
        <v>1557</v>
      </c>
      <c r="F67" s="11" t="s">
        <v>59</v>
      </c>
      <c r="G67" s="11" t="s">
        <v>60</v>
      </c>
      <c r="H67" s="11" t="s">
        <v>194</v>
      </c>
      <c r="I67" s="11" t="s">
        <v>1558</v>
      </c>
      <c r="J67" s="11" t="s">
        <v>1559</v>
      </c>
      <c r="K67" s="11" t="s">
        <v>1560</v>
      </c>
      <c r="L67" s="12" t="s">
        <v>65</v>
      </c>
      <c r="M67" s="12" t="s">
        <v>66</v>
      </c>
      <c r="N67" s="11" t="s">
        <v>67</v>
      </c>
      <c r="O67" s="11" t="s">
        <v>68</v>
      </c>
      <c r="P67" s="11" t="s">
        <v>167</v>
      </c>
      <c r="Q67" s="11" t="s">
        <v>1561</v>
      </c>
      <c r="R67" s="11" t="s">
        <v>67</v>
      </c>
      <c r="S67" s="11" t="s">
        <v>1136</v>
      </c>
      <c r="T67" s="11" t="s">
        <v>1287</v>
      </c>
      <c r="U67" s="11" t="s">
        <v>1138</v>
      </c>
      <c r="V67" s="11" t="s">
        <v>1562</v>
      </c>
      <c r="W67" s="23" t="s">
        <v>67</v>
      </c>
      <c r="X67" s="13" t="s">
        <v>67</v>
      </c>
    </row>
    <row r="68" spans="1:24" ht="48" customHeight="1">
      <c r="A68" s="11" t="s">
        <v>55</v>
      </c>
      <c r="B68" s="11" t="s">
        <v>15</v>
      </c>
      <c r="C68" s="11" t="s">
        <v>1563</v>
      </c>
      <c r="D68" s="11" t="s">
        <v>1564</v>
      </c>
      <c r="E68" s="11" t="s">
        <v>1557</v>
      </c>
      <c r="F68" s="11" t="s">
        <v>59</v>
      </c>
      <c r="G68" s="11" t="s">
        <v>60</v>
      </c>
      <c r="H68" s="11" t="s">
        <v>200</v>
      </c>
      <c r="I68" s="11" t="s">
        <v>1565</v>
      </c>
      <c r="J68" s="11" t="s">
        <v>1566</v>
      </c>
      <c r="K68" s="11" t="s">
        <v>1567</v>
      </c>
      <c r="L68" s="12" t="s">
        <v>23</v>
      </c>
      <c r="M68" s="12" t="s">
        <v>66</v>
      </c>
      <c r="N68" s="11" t="s">
        <v>67</v>
      </c>
      <c r="O68" s="11" t="s">
        <v>68</v>
      </c>
      <c r="P68" s="11" t="s">
        <v>167</v>
      </c>
      <c r="Q68" s="11" t="s">
        <v>1561</v>
      </c>
      <c r="R68" s="11" t="s">
        <v>67</v>
      </c>
      <c r="S68" s="11" t="s">
        <v>1136</v>
      </c>
      <c r="T68" s="11" t="s">
        <v>1287</v>
      </c>
      <c r="U68" s="11" t="s">
        <v>1138</v>
      </c>
      <c r="V68" s="11" t="s">
        <v>1562</v>
      </c>
      <c r="W68" s="23" t="s">
        <v>67</v>
      </c>
      <c r="X68" s="13" t="s">
        <v>67</v>
      </c>
    </row>
    <row r="69" spans="1:24" ht="51" customHeight="1">
      <c r="A69" s="11" t="s">
        <v>55</v>
      </c>
      <c r="B69" s="11" t="s">
        <v>15</v>
      </c>
      <c r="C69" s="11" t="s">
        <v>1568</v>
      </c>
      <c r="D69" s="11" t="s">
        <v>1569</v>
      </c>
      <c r="E69" s="11" t="s">
        <v>1570</v>
      </c>
      <c r="F69" s="11" t="s">
        <v>59</v>
      </c>
      <c r="G69" s="11" t="s">
        <v>60</v>
      </c>
      <c r="H69" s="11" t="s">
        <v>194</v>
      </c>
      <c r="I69" s="11" t="s">
        <v>1571</v>
      </c>
      <c r="J69" s="11" t="s">
        <v>1572</v>
      </c>
      <c r="K69" s="11" t="s">
        <v>1573</v>
      </c>
      <c r="L69" s="12" t="s">
        <v>65</v>
      </c>
      <c r="M69" s="12" t="s">
        <v>673</v>
      </c>
      <c r="N69" s="11" t="s">
        <v>67</v>
      </c>
      <c r="O69" s="11" t="s">
        <v>68</v>
      </c>
      <c r="P69" s="11" t="s">
        <v>67</v>
      </c>
      <c r="Q69" s="11" t="s">
        <v>1574</v>
      </c>
      <c r="R69" s="11" t="s">
        <v>67</v>
      </c>
      <c r="S69" s="11" t="s">
        <v>1136</v>
      </c>
      <c r="T69" s="11" t="s">
        <v>1575</v>
      </c>
      <c r="U69" s="11" t="s">
        <v>1138</v>
      </c>
      <c r="V69" s="11" t="s">
        <v>1576</v>
      </c>
      <c r="W69" s="23" t="s">
        <v>67</v>
      </c>
      <c r="X69" s="13" t="s">
        <v>67</v>
      </c>
    </row>
    <row r="70" spans="1:24" ht="48" customHeight="1">
      <c r="A70" s="11" t="s">
        <v>55</v>
      </c>
      <c r="B70" s="11" t="s">
        <v>15</v>
      </c>
      <c r="C70" s="11" t="s">
        <v>1577</v>
      </c>
      <c r="D70" s="11" t="s">
        <v>1578</v>
      </c>
      <c r="E70" s="11" t="s">
        <v>1579</v>
      </c>
      <c r="F70" s="11" t="s">
        <v>59</v>
      </c>
      <c r="G70" s="11" t="s">
        <v>60</v>
      </c>
      <c r="H70" s="11" t="s">
        <v>194</v>
      </c>
      <c r="I70" s="11" t="s">
        <v>1580</v>
      </c>
      <c r="J70" s="11" t="s">
        <v>1581</v>
      </c>
      <c r="K70" s="11" t="s">
        <v>1582</v>
      </c>
      <c r="L70" s="12" t="s">
        <v>65</v>
      </c>
      <c r="M70" s="12" t="s">
        <v>66</v>
      </c>
      <c r="N70" s="11" t="s">
        <v>67</v>
      </c>
      <c r="O70" s="11" t="s">
        <v>329</v>
      </c>
      <c r="P70" s="11" t="s">
        <v>67</v>
      </c>
      <c r="Q70" s="11" t="s">
        <v>471</v>
      </c>
      <c r="R70" s="11" t="s">
        <v>67</v>
      </c>
      <c r="S70" s="11" t="s">
        <v>1136</v>
      </c>
      <c r="T70" s="11" t="s">
        <v>1287</v>
      </c>
      <c r="U70" s="11" t="s">
        <v>1138</v>
      </c>
      <c r="V70" s="11" t="s">
        <v>1583</v>
      </c>
      <c r="W70" s="23" t="s">
        <v>67</v>
      </c>
      <c r="X70" s="13" t="s">
        <v>67</v>
      </c>
    </row>
    <row r="71" spans="1:24" ht="48" customHeight="1">
      <c r="A71" s="11" t="s">
        <v>55</v>
      </c>
      <c r="B71" s="11" t="s">
        <v>15</v>
      </c>
      <c r="C71" s="11" t="s">
        <v>1584</v>
      </c>
      <c r="D71" s="11" t="s">
        <v>1585</v>
      </c>
      <c r="E71" s="11" t="s">
        <v>1586</v>
      </c>
      <c r="F71" s="11" t="s">
        <v>59</v>
      </c>
      <c r="G71" s="11" t="s">
        <v>60</v>
      </c>
      <c r="H71" s="11" t="s">
        <v>194</v>
      </c>
      <c r="I71" s="11" t="s">
        <v>1587</v>
      </c>
      <c r="J71" s="11" t="s">
        <v>1588</v>
      </c>
      <c r="K71" s="11" t="s">
        <v>1589</v>
      </c>
      <c r="L71" s="12" t="s">
        <v>65</v>
      </c>
      <c r="M71" s="12" t="s">
        <v>66</v>
      </c>
      <c r="N71" s="11" t="s">
        <v>67</v>
      </c>
      <c r="O71" s="11" t="s">
        <v>68</v>
      </c>
      <c r="P71" s="11" t="s">
        <v>883</v>
      </c>
      <c r="Q71" s="11" t="s">
        <v>1590</v>
      </c>
      <c r="R71" s="11" t="s">
        <v>67</v>
      </c>
      <c r="S71" s="11" t="s">
        <v>1136</v>
      </c>
      <c r="T71" s="11" t="s">
        <v>1287</v>
      </c>
      <c r="U71" s="11" t="s">
        <v>1138</v>
      </c>
      <c r="V71" s="11" t="s">
        <v>1591</v>
      </c>
      <c r="W71" s="23" t="s">
        <v>67</v>
      </c>
      <c r="X71" s="13" t="s">
        <v>67</v>
      </c>
    </row>
    <row r="72" spans="1:24" ht="48" customHeight="1">
      <c r="A72" s="11" t="s">
        <v>55</v>
      </c>
      <c r="B72" s="11" t="s">
        <v>15</v>
      </c>
      <c r="C72" s="11" t="s">
        <v>1592</v>
      </c>
      <c r="D72" s="11" t="s">
        <v>1593</v>
      </c>
      <c r="E72" s="11" t="s">
        <v>1586</v>
      </c>
      <c r="F72" s="11" t="s">
        <v>59</v>
      </c>
      <c r="G72" s="11" t="s">
        <v>60</v>
      </c>
      <c r="H72" s="11" t="s">
        <v>200</v>
      </c>
      <c r="I72" s="11" t="s">
        <v>1594</v>
      </c>
      <c r="J72" s="11" t="s">
        <v>1595</v>
      </c>
      <c r="K72" s="11" t="s">
        <v>1596</v>
      </c>
      <c r="L72" s="12" t="s">
        <v>23</v>
      </c>
      <c r="M72" s="12" t="s">
        <v>66</v>
      </c>
      <c r="N72" s="11" t="s">
        <v>67</v>
      </c>
      <c r="O72" s="11" t="s">
        <v>68</v>
      </c>
      <c r="P72" s="11" t="s">
        <v>883</v>
      </c>
      <c r="Q72" s="11" t="s">
        <v>1590</v>
      </c>
      <c r="R72" s="11" t="s">
        <v>67</v>
      </c>
      <c r="S72" s="11" t="s">
        <v>1136</v>
      </c>
      <c r="T72" s="11" t="s">
        <v>1287</v>
      </c>
      <c r="U72" s="11" t="s">
        <v>1138</v>
      </c>
      <c r="V72" s="11" t="s">
        <v>1591</v>
      </c>
      <c r="W72" s="23" t="s">
        <v>67</v>
      </c>
      <c r="X72" s="13" t="s">
        <v>67</v>
      </c>
    </row>
    <row r="73" spans="1:24" ht="48" customHeight="1">
      <c r="A73" s="11" t="s">
        <v>55</v>
      </c>
      <c r="B73" s="11" t="s">
        <v>15</v>
      </c>
      <c r="C73" s="11" t="s">
        <v>1597</v>
      </c>
      <c r="D73" s="11" t="s">
        <v>1598</v>
      </c>
      <c r="E73" s="11" t="s">
        <v>1599</v>
      </c>
      <c r="F73" s="11" t="s">
        <v>59</v>
      </c>
      <c r="G73" s="11" t="s">
        <v>60</v>
      </c>
      <c r="H73" s="11" t="s">
        <v>194</v>
      </c>
      <c r="I73" s="11" t="s">
        <v>1600</v>
      </c>
      <c r="J73" s="11" t="s">
        <v>1601</v>
      </c>
      <c r="K73" s="11" t="s">
        <v>1602</v>
      </c>
      <c r="L73" s="12" t="s">
        <v>65</v>
      </c>
      <c r="M73" s="12" t="s">
        <v>673</v>
      </c>
      <c r="N73" s="11" t="s">
        <v>67</v>
      </c>
      <c r="O73" s="11" t="s">
        <v>92</v>
      </c>
      <c r="P73" s="11" t="s">
        <v>67</v>
      </c>
      <c r="Q73" s="11" t="s">
        <v>343</v>
      </c>
      <c r="R73" s="11" t="s">
        <v>67</v>
      </c>
      <c r="S73" s="11" t="s">
        <v>1136</v>
      </c>
      <c r="T73" s="11" t="s">
        <v>1287</v>
      </c>
      <c r="U73" s="11" t="s">
        <v>1138</v>
      </c>
      <c r="V73" s="11" t="s">
        <v>1603</v>
      </c>
      <c r="W73" s="23" t="s">
        <v>67</v>
      </c>
      <c r="X73" s="13" t="s">
        <v>67</v>
      </c>
    </row>
    <row r="74" spans="1:24" ht="48" customHeight="1">
      <c r="A74" s="11" t="s">
        <v>55</v>
      </c>
      <c r="B74" s="11" t="s">
        <v>15</v>
      </c>
      <c r="C74" s="11" t="s">
        <v>1604</v>
      </c>
      <c r="D74" s="11" t="s">
        <v>1605</v>
      </c>
      <c r="E74" s="11" t="s">
        <v>1606</v>
      </c>
      <c r="F74" s="11" t="s">
        <v>59</v>
      </c>
      <c r="G74" s="11" t="s">
        <v>60</v>
      </c>
      <c r="H74" s="11" t="s">
        <v>194</v>
      </c>
      <c r="I74" s="11" t="s">
        <v>1607</v>
      </c>
      <c r="J74" s="11" t="s">
        <v>1608</v>
      </c>
      <c r="K74" s="11" t="s">
        <v>1609</v>
      </c>
      <c r="L74" s="12" t="s">
        <v>65</v>
      </c>
      <c r="M74" s="12" t="s">
        <v>66</v>
      </c>
      <c r="N74" s="11" t="s">
        <v>67</v>
      </c>
      <c r="O74" s="11" t="s">
        <v>68</v>
      </c>
      <c r="P74" s="11" t="s">
        <v>1610</v>
      </c>
      <c r="Q74" s="11" t="s">
        <v>1611</v>
      </c>
      <c r="R74" s="11" t="s">
        <v>67</v>
      </c>
      <c r="S74" s="11" t="s">
        <v>1136</v>
      </c>
      <c r="T74" s="11" t="s">
        <v>1287</v>
      </c>
      <c r="U74" s="11" t="s">
        <v>1138</v>
      </c>
      <c r="V74" s="11" t="s">
        <v>1612</v>
      </c>
      <c r="W74" s="23" t="s">
        <v>67</v>
      </c>
      <c r="X74" s="13" t="s">
        <v>67</v>
      </c>
    </row>
    <row r="75" spans="1:24" ht="48" customHeight="1">
      <c r="A75" s="11" t="s">
        <v>55</v>
      </c>
      <c r="B75" s="11" t="s">
        <v>15</v>
      </c>
      <c r="C75" s="11" t="s">
        <v>1613</v>
      </c>
      <c r="D75" s="11" t="s">
        <v>1614</v>
      </c>
      <c r="E75" s="11" t="s">
        <v>1606</v>
      </c>
      <c r="F75" s="11" t="s">
        <v>59</v>
      </c>
      <c r="G75" s="11" t="s">
        <v>60</v>
      </c>
      <c r="H75" s="11" t="s">
        <v>200</v>
      </c>
      <c r="I75" s="11" t="s">
        <v>1615</v>
      </c>
      <c r="J75" s="11" t="s">
        <v>1616</v>
      </c>
      <c r="K75" s="11" t="s">
        <v>1617</v>
      </c>
      <c r="L75" s="12" t="s">
        <v>23</v>
      </c>
      <c r="M75" s="12" t="s">
        <v>66</v>
      </c>
      <c r="N75" s="11" t="s">
        <v>67</v>
      </c>
      <c r="O75" s="11" t="s">
        <v>68</v>
      </c>
      <c r="P75" s="11" t="s">
        <v>1610</v>
      </c>
      <c r="Q75" s="11" t="s">
        <v>1611</v>
      </c>
      <c r="R75" s="11" t="s">
        <v>67</v>
      </c>
      <c r="S75" s="11" t="s">
        <v>1136</v>
      </c>
      <c r="T75" s="11" t="s">
        <v>1287</v>
      </c>
      <c r="U75" s="11" t="s">
        <v>1138</v>
      </c>
      <c r="V75" s="11" t="s">
        <v>1612</v>
      </c>
      <c r="W75" s="23" t="s">
        <v>67</v>
      </c>
      <c r="X75" s="13" t="s">
        <v>67</v>
      </c>
    </row>
    <row r="76" spans="1:24" ht="82.5" customHeight="1">
      <c r="A76" s="11" t="s">
        <v>55</v>
      </c>
      <c r="B76" s="11" t="s">
        <v>15</v>
      </c>
      <c r="C76" s="11" t="s">
        <v>1618</v>
      </c>
      <c r="D76" s="11" t="s">
        <v>1619</v>
      </c>
      <c r="E76" s="11" t="s">
        <v>1620</v>
      </c>
      <c r="F76" s="11" t="s">
        <v>59</v>
      </c>
      <c r="G76" s="11" t="s">
        <v>60</v>
      </c>
      <c r="H76" s="11" t="s">
        <v>194</v>
      </c>
      <c r="I76" s="11" t="s">
        <v>1621</v>
      </c>
      <c r="J76" s="11" t="s">
        <v>1622</v>
      </c>
      <c r="K76" s="11" t="s">
        <v>1623</v>
      </c>
      <c r="L76" s="12" t="s">
        <v>65</v>
      </c>
      <c r="M76" s="12" t="s">
        <v>66</v>
      </c>
      <c r="N76" s="11" t="s">
        <v>67</v>
      </c>
      <c r="O76" s="11" t="s">
        <v>68</v>
      </c>
      <c r="P76" s="11" t="s">
        <v>1146</v>
      </c>
      <c r="Q76" s="11" t="s">
        <v>67</v>
      </c>
      <c r="R76" s="11" t="s">
        <v>67</v>
      </c>
      <c r="S76" s="11" t="s">
        <v>1136</v>
      </c>
      <c r="T76" s="11" t="s">
        <v>1624</v>
      </c>
      <c r="U76" s="11" t="s">
        <v>1138</v>
      </c>
      <c r="V76" s="11" t="s">
        <v>1625</v>
      </c>
      <c r="W76" s="23" t="s">
        <v>67</v>
      </c>
      <c r="X76" s="13" t="s">
        <v>67</v>
      </c>
    </row>
    <row r="77" spans="1:24" ht="132" customHeight="1">
      <c r="A77" s="11" t="s">
        <v>55</v>
      </c>
      <c r="B77" s="11" t="s">
        <v>15</v>
      </c>
      <c r="C77" s="11" t="s">
        <v>1626</v>
      </c>
      <c r="D77" s="11" t="s">
        <v>1627</v>
      </c>
      <c r="E77" s="11" t="s">
        <v>1620</v>
      </c>
      <c r="F77" s="11" t="s">
        <v>59</v>
      </c>
      <c r="G77" s="11" t="s">
        <v>60</v>
      </c>
      <c r="H77" s="11" t="s">
        <v>200</v>
      </c>
      <c r="I77" s="11" t="s">
        <v>1628</v>
      </c>
      <c r="J77" s="11" t="s">
        <v>1629</v>
      </c>
      <c r="K77" s="11" t="s">
        <v>1630</v>
      </c>
      <c r="L77" s="12" t="s">
        <v>23</v>
      </c>
      <c r="M77" s="12" t="s">
        <v>66</v>
      </c>
      <c r="N77" s="11" t="s">
        <v>67</v>
      </c>
      <c r="O77" s="11" t="s">
        <v>68</v>
      </c>
      <c r="P77" s="11" t="s">
        <v>1146</v>
      </c>
      <c r="Q77" s="11" t="s">
        <v>67</v>
      </c>
      <c r="R77" s="11" t="s">
        <v>67</v>
      </c>
      <c r="S77" s="11" t="s">
        <v>1136</v>
      </c>
      <c r="T77" s="11" t="s">
        <v>1624</v>
      </c>
      <c r="U77" s="11" t="s">
        <v>1138</v>
      </c>
      <c r="V77" s="11" t="s">
        <v>1625</v>
      </c>
      <c r="W77" s="23" t="s">
        <v>67</v>
      </c>
      <c r="X77" s="13" t="s">
        <v>67</v>
      </c>
    </row>
    <row r="78" spans="1:24" ht="75.95" customHeight="1">
      <c r="A78" s="11" t="s">
        <v>55</v>
      </c>
      <c r="B78" s="11" t="s">
        <v>15</v>
      </c>
      <c r="C78" s="11" t="s">
        <v>1631</v>
      </c>
      <c r="D78" s="11" t="s">
        <v>1632</v>
      </c>
      <c r="E78" s="11" t="s">
        <v>813</v>
      </c>
      <c r="F78" s="11" t="s">
        <v>59</v>
      </c>
      <c r="G78" s="11" t="s">
        <v>60</v>
      </c>
      <c r="H78" s="11" t="s">
        <v>194</v>
      </c>
      <c r="I78" s="11" t="s">
        <v>1633</v>
      </c>
      <c r="J78" s="11" t="s">
        <v>814</v>
      </c>
      <c r="K78" s="11" t="s">
        <v>1634</v>
      </c>
      <c r="L78" s="12" t="s">
        <v>65</v>
      </c>
      <c r="M78" s="12" t="s">
        <v>673</v>
      </c>
      <c r="N78" s="11" t="s">
        <v>67</v>
      </c>
      <c r="O78" s="11" t="s">
        <v>68</v>
      </c>
      <c r="P78" s="11" t="s">
        <v>816</v>
      </c>
      <c r="Q78" s="11">
        <v>123456</v>
      </c>
      <c r="R78" s="11" t="s">
        <v>67</v>
      </c>
      <c r="S78" s="11" t="s">
        <v>1136</v>
      </c>
      <c r="T78" s="11" t="s">
        <v>1635</v>
      </c>
      <c r="U78" s="11" t="s">
        <v>1138</v>
      </c>
      <c r="V78" s="11" t="s">
        <v>1636</v>
      </c>
      <c r="W78" s="23" t="s">
        <v>67</v>
      </c>
      <c r="X78" s="13" t="s">
        <v>67</v>
      </c>
    </row>
    <row r="79" spans="1:24" ht="62.1" customHeight="1">
      <c r="A79" s="11" t="s">
        <v>55</v>
      </c>
      <c r="B79" s="11" t="s">
        <v>15</v>
      </c>
      <c r="C79" s="11" t="s">
        <v>1637</v>
      </c>
      <c r="D79" s="11" t="s">
        <v>1638</v>
      </c>
      <c r="E79" s="11" t="s">
        <v>215</v>
      </c>
      <c r="F79" s="11" t="s">
        <v>59</v>
      </c>
      <c r="G79" s="11" t="s">
        <v>60</v>
      </c>
      <c r="H79" s="11" t="s">
        <v>194</v>
      </c>
      <c r="I79" s="11" t="s">
        <v>1639</v>
      </c>
      <c r="J79" s="11" t="s">
        <v>225</v>
      </c>
      <c r="K79" s="11" t="s">
        <v>1640</v>
      </c>
      <c r="L79" s="12" t="s">
        <v>65</v>
      </c>
      <c r="M79" s="12" t="s">
        <v>66</v>
      </c>
      <c r="N79" s="11" t="s">
        <v>67</v>
      </c>
      <c r="O79" s="11" t="s">
        <v>68</v>
      </c>
      <c r="P79" s="11" t="s">
        <v>220</v>
      </c>
      <c r="Q79" s="11" t="s">
        <v>1641</v>
      </c>
      <c r="R79" s="11" t="s">
        <v>67</v>
      </c>
      <c r="S79" s="11" t="s">
        <v>1136</v>
      </c>
      <c r="T79" s="11" t="s">
        <v>1642</v>
      </c>
      <c r="U79" s="11" t="s">
        <v>1138</v>
      </c>
      <c r="V79" s="11" t="s">
        <v>1643</v>
      </c>
      <c r="W79" s="23" t="s">
        <v>67</v>
      </c>
      <c r="X79" s="13" t="s">
        <v>67</v>
      </c>
    </row>
    <row r="80" spans="1:24" ht="62.1" customHeight="1">
      <c r="A80" s="11" t="s">
        <v>55</v>
      </c>
      <c r="B80" s="11" t="s">
        <v>15</v>
      </c>
      <c r="C80" s="11" t="s">
        <v>1644</v>
      </c>
      <c r="D80" s="11" t="s">
        <v>1645</v>
      </c>
      <c r="E80" s="11" t="s">
        <v>215</v>
      </c>
      <c r="F80" s="11" t="s">
        <v>59</v>
      </c>
      <c r="G80" s="11" t="s">
        <v>60</v>
      </c>
      <c r="H80" s="11" t="s">
        <v>200</v>
      </c>
      <c r="I80" s="11" t="s">
        <v>229</v>
      </c>
      <c r="J80" s="11" t="s">
        <v>230</v>
      </c>
      <c r="K80" s="11" t="s">
        <v>231</v>
      </c>
      <c r="L80" s="12" t="s">
        <v>23</v>
      </c>
      <c r="M80" s="12" t="s">
        <v>66</v>
      </c>
      <c r="N80" s="11" t="s">
        <v>67</v>
      </c>
      <c r="O80" s="11" t="s">
        <v>68</v>
      </c>
      <c r="P80" s="11" t="s">
        <v>220</v>
      </c>
      <c r="Q80" s="11" t="s">
        <v>1641</v>
      </c>
      <c r="R80" s="11" t="s">
        <v>67</v>
      </c>
      <c r="S80" s="11" t="s">
        <v>1136</v>
      </c>
      <c r="T80" s="11" t="s">
        <v>1642</v>
      </c>
      <c r="U80" s="11" t="s">
        <v>1138</v>
      </c>
      <c r="V80" s="11" t="s">
        <v>1643</v>
      </c>
      <c r="W80" s="23" t="s">
        <v>67</v>
      </c>
      <c r="X80" s="13" t="s">
        <v>67</v>
      </c>
    </row>
    <row r="81" spans="1:24" ht="48" customHeight="1">
      <c r="A81" s="11" t="s">
        <v>55</v>
      </c>
      <c r="B81" s="11" t="s">
        <v>15</v>
      </c>
      <c r="C81" s="11" t="s">
        <v>1646</v>
      </c>
      <c r="D81" s="11" t="s">
        <v>1647</v>
      </c>
      <c r="E81" s="11" t="s">
        <v>1648</v>
      </c>
      <c r="F81" s="11" t="s">
        <v>59</v>
      </c>
      <c r="G81" s="11" t="s">
        <v>60</v>
      </c>
      <c r="H81" s="11" t="s">
        <v>61</v>
      </c>
      <c r="I81" s="11" t="s">
        <v>1649</v>
      </c>
      <c r="J81" s="11" t="s">
        <v>1650</v>
      </c>
      <c r="K81" s="11" t="s">
        <v>1651</v>
      </c>
      <c r="L81" s="12" t="s">
        <v>106</v>
      </c>
      <c r="M81" s="12"/>
      <c r="N81" s="11" t="s">
        <v>1652</v>
      </c>
      <c r="O81" s="11" t="s">
        <v>68</v>
      </c>
      <c r="P81" s="11" t="s">
        <v>244</v>
      </c>
      <c r="Q81" s="11" t="s">
        <v>67</v>
      </c>
      <c r="R81" s="11" t="s">
        <v>67</v>
      </c>
      <c r="S81" s="11" t="s">
        <v>1161</v>
      </c>
      <c r="T81" s="11" t="s">
        <v>1162</v>
      </c>
      <c r="U81" s="11" t="s">
        <v>1163</v>
      </c>
      <c r="V81" s="11" t="s">
        <v>1164</v>
      </c>
      <c r="W81" s="23" t="s">
        <v>67</v>
      </c>
      <c r="X81" s="13" t="s">
        <v>67</v>
      </c>
    </row>
    <row r="82" spans="1:24" ht="48" customHeight="1">
      <c r="A82" s="11" t="s">
        <v>55</v>
      </c>
      <c r="B82" s="11" t="s">
        <v>15</v>
      </c>
      <c r="C82" s="11" t="s">
        <v>1653</v>
      </c>
      <c r="D82" s="11" t="s">
        <v>1654</v>
      </c>
      <c r="E82" s="11" t="s">
        <v>1648</v>
      </c>
      <c r="F82" s="11" t="s">
        <v>59</v>
      </c>
      <c r="G82" s="11" t="s">
        <v>60</v>
      </c>
      <c r="H82" s="11" t="s">
        <v>194</v>
      </c>
      <c r="I82" s="11" t="s">
        <v>1655</v>
      </c>
      <c r="J82" s="11" t="s">
        <v>1656</v>
      </c>
      <c r="K82" s="11" t="s">
        <v>1657</v>
      </c>
      <c r="L82" s="12" t="s">
        <v>65</v>
      </c>
      <c r="M82" s="12" t="s">
        <v>66</v>
      </c>
      <c r="N82" s="11" t="s">
        <v>67</v>
      </c>
      <c r="O82" s="11" t="s">
        <v>68</v>
      </c>
      <c r="P82" s="11" t="s">
        <v>244</v>
      </c>
      <c r="Q82" s="11" t="s">
        <v>67</v>
      </c>
      <c r="R82" s="11" t="s">
        <v>67</v>
      </c>
      <c r="S82" s="11" t="s">
        <v>1161</v>
      </c>
      <c r="T82" s="11" t="s">
        <v>1162</v>
      </c>
      <c r="U82" s="11" t="s">
        <v>1163</v>
      </c>
      <c r="V82" s="11" t="s">
        <v>1164</v>
      </c>
      <c r="W82" s="23" t="s">
        <v>67</v>
      </c>
      <c r="X82" s="13" t="s">
        <v>67</v>
      </c>
    </row>
    <row r="83" spans="1:24" ht="146.1" customHeight="1">
      <c r="A83" s="11" t="s">
        <v>55</v>
      </c>
      <c r="B83" s="11" t="s">
        <v>15</v>
      </c>
      <c r="C83" s="11" t="s">
        <v>1658</v>
      </c>
      <c r="D83" s="11" t="s">
        <v>1659</v>
      </c>
      <c r="E83" s="11" t="s">
        <v>1660</v>
      </c>
      <c r="F83" s="11" t="s">
        <v>59</v>
      </c>
      <c r="G83" s="11" t="s">
        <v>60</v>
      </c>
      <c r="H83" s="11" t="s">
        <v>194</v>
      </c>
      <c r="I83" s="11" t="s">
        <v>1661</v>
      </c>
      <c r="J83" s="11" t="s">
        <v>1662</v>
      </c>
      <c r="K83" s="11" t="s">
        <v>1663</v>
      </c>
      <c r="L83" s="12" t="s">
        <v>65</v>
      </c>
      <c r="M83" s="12" t="s">
        <v>66</v>
      </c>
      <c r="N83" s="11" t="s">
        <v>67</v>
      </c>
      <c r="O83" s="11" t="s">
        <v>68</v>
      </c>
      <c r="P83" s="11" t="s">
        <v>159</v>
      </c>
      <c r="Q83" s="11" t="s">
        <v>67</v>
      </c>
      <c r="R83" s="11" t="s">
        <v>67</v>
      </c>
      <c r="S83" s="11" t="s">
        <v>1136</v>
      </c>
      <c r="T83" s="11" t="s">
        <v>1664</v>
      </c>
      <c r="U83" s="11" t="s">
        <v>1138</v>
      </c>
      <c r="V83" s="11" t="s">
        <v>1665</v>
      </c>
      <c r="W83" s="23" t="s">
        <v>67</v>
      </c>
      <c r="X83" s="13" t="s">
        <v>67</v>
      </c>
    </row>
    <row r="84" spans="1:24" ht="146.1" customHeight="1">
      <c r="A84" s="11" t="s">
        <v>55</v>
      </c>
      <c r="B84" s="11" t="s">
        <v>15</v>
      </c>
      <c r="C84" s="11" t="s">
        <v>1666</v>
      </c>
      <c r="D84" s="11" t="s">
        <v>1667</v>
      </c>
      <c r="E84" s="11" t="s">
        <v>1660</v>
      </c>
      <c r="F84" s="11" t="s">
        <v>59</v>
      </c>
      <c r="G84" s="11" t="s">
        <v>60</v>
      </c>
      <c r="H84" s="11" t="s">
        <v>200</v>
      </c>
      <c r="I84" s="11" t="s">
        <v>1668</v>
      </c>
      <c r="J84" s="11" t="s">
        <v>1669</v>
      </c>
      <c r="K84" s="11" t="s">
        <v>1670</v>
      </c>
      <c r="L84" s="12" t="s">
        <v>23</v>
      </c>
      <c r="M84" s="12" t="s">
        <v>66</v>
      </c>
      <c r="N84" s="11" t="s">
        <v>67</v>
      </c>
      <c r="O84" s="11" t="s">
        <v>68</v>
      </c>
      <c r="P84" s="11" t="s">
        <v>159</v>
      </c>
      <c r="Q84" s="11" t="s">
        <v>67</v>
      </c>
      <c r="R84" s="11" t="s">
        <v>67</v>
      </c>
      <c r="S84" s="11" t="s">
        <v>1136</v>
      </c>
      <c r="T84" s="11" t="s">
        <v>1664</v>
      </c>
      <c r="U84" s="11" t="s">
        <v>1138</v>
      </c>
      <c r="V84" s="11" t="s">
        <v>1665</v>
      </c>
      <c r="W84" s="23" t="s">
        <v>67</v>
      </c>
      <c r="X84" s="13" t="s">
        <v>67</v>
      </c>
    </row>
    <row r="85" spans="1:24" ht="62.1" customHeight="1">
      <c r="A85" s="11" t="s">
        <v>55</v>
      </c>
      <c r="B85" s="11" t="s">
        <v>15</v>
      </c>
      <c r="C85" s="11" t="s">
        <v>1671</v>
      </c>
      <c r="D85" s="11" t="s">
        <v>1672</v>
      </c>
      <c r="E85" s="11" t="s">
        <v>1673</v>
      </c>
      <c r="F85" s="11" t="s">
        <v>59</v>
      </c>
      <c r="G85" s="11" t="s">
        <v>60</v>
      </c>
      <c r="H85" s="11" t="s">
        <v>194</v>
      </c>
      <c r="I85" s="11" t="s">
        <v>1674</v>
      </c>
      <c r="J85" s="11" t="s">
        <v>1675</v>
      </c>
      <c r="K85" s="11" t="s">
        <v>1676</v>
      </c>
      <c r="L85" s="12" t="s">
        <v>65</v>
      </c>
      <c r="M85" s="12" t="s">
        <v>66</v>
      </c>
      <c r="N85" s="11" t="s">
        <v>67</v>
      </c>
      <c r="O85" s="11" t="s">
        <v>68</v>
      </c>
      <c r="P85" s="11" t="s">
        <v>67</v>
      </c>
      <c r="Q85" s="11" t="s">
        <v>1677</v>
      </c>
      <c r="R85" s="11" t="s">
        <v>67</v>
      </c>
      <c r="S85" s="11" t="s">
        <v>1136</v>
      </c>
      <c r="T85" s="11" t="s">
        <v>1678</v>
      </c>
      <c r="U85" s="11" t="s">
        <v>1138</v>
      </c>
      <c r="V85" s="11" t="s">
        <v>1679</v>
      </c>
      <c r="W85" s="23" t="s">
        <v>67</v>
      </c>
      <c r="X85" s="13" t="s">
        <v>67</v>
      </c>
    </row>
    <row r="86" spans="1:24" ht="117.95" customHeight="1">
      <c r="A86" s="11" t="s">
        <v>55</v>
      </c>
      <c r="B86" s="11" t="s">
        <v>15</v>
      </c>
      <c r="C86" s="11" t="s">
        <v>1680</v>
      </c>
      <c r="D86" s="11" t="s">
        <v>1681</v>
      </c>
      <c r="E86" s="11" t="s">
        <v>1682</v>
      </c>
      <c r="F86" s="11" t="s">
        <v>59</v>
      </c>
      <c r="G86" s="11" t="s">
        <v>60</v>
      </c>
      <c r="H86" s="11" t="s">
        <v>194</v>
      </c>
      <c r="I86" s="11" t="s">
        <v>1683</v>
      </c>
      <c r="J86" s="11" t="s">
        <v>1684</v>
      </c>
      <c r="K86" s="11" t="s">
        <v>1685</v>
      </c>
      <c r="L86" s="12" t="s">
        <v>65</v>
      </c>
      <c r="M86" s="12" t="s">
        <v>66</v>
      </c>
      <c r="N86" s="11" t="s">
        <v>67</v>
      </c>
      <c r="O86" s="11" t="s">
        <v>68</v>
      </c>
      <c r="P86" s="11" t="s">
        <v>152</v>
      </c>
      <c r="Q86" s="11" t="s">
        <v>67</v>
      </c>
      <c r="R86" s="11" t="s">
        <v>67</v>
      </c>
      <c r="S86" s="11" t="s">
        <v>1136</v>
      </c>
      <c r="T86" s="11" t="s">
        <v>1686</v>
      </c>
      <c r="U86" s="11" t="s">
        <v>1138</v>
      </c>
      <c r="V86" s="11" t="s">
        <v>1687</v>
      </c>
      <c r="W86" s="23" t="s">
        <v>67</v>
      </c>
      <c r="X86" s="13" t="s">
        <v>67</v>
      </c>
    </row>
    <row r="87" spans="1:24" ht="117.95" customHeight="1">
      <c r="A87" s="11" t="s">
        <v>55</v>
      </c>
      <c r="B87" s="11" t="s">
        <v>15</v>
      </c>
      <c r="C87" s="11" t="s">
        <v>1688</v>
      </c>
      <c r="D87" s="11" t="s">
        <v>1689</v>
      </c>
      <c r="E87" s="11" t="s">
        <v>1682</v>
      </c>
      <c r="F87" s="11" t="s">
        <v>59</v>
      </c>
      <c r="G87" s="11" t="s">
        <v>60</v>
      </c>
      <c r="H87" s="11" t="s">
        <v>200</v>
      </c>
      <c r="I87" s="11" t="s">
        <v>1690</v>
      </c>
      <c r="J87" s="11" t="s">
        <v>1691</v>
      </c>
      <c r="K87" s="11" t="s">
        <v>1692</v>
      </c>
      <c r="L87" s="12" t="s">
        <v>23</v>
      </c>
      <c r="M87" s="12" t="s">
        <v>66</v>
      </c>
      <c r="N87" s="11" t="s">
        <v>67</v>
      </c>
      <c r="O87" s="11" t="s">
        <v>68</v>
      </c>
      <c r="P87" s="11" t="s">
        <v>152</v>
      </c>
      <c r="Q87" s="11" t="s">
        <v>67</v>
      </c>
      <c r="R87" s="11" t="s">
        <v>67</v>
      </c>
      <c r="S87" s="11" t="s">
        <v>1136</v>
      </c>
      <c r="T87" s="11" t="s">
        <v>1686</v>
      </c>
      <c r="U87" s="11" t="s">
        <v>1138</v>
      </c>
      <c r="V87" s="11" t="s">
        <v>1687</v>
      </c>
      <c r="W87" s="23" t="s">
        <v>67</v>
      </c>
      <c r="X87" s="13" t="s">
        <v>67</v>
      </c>
    </row>
    <row r="88" spans="1:24" ht="48" customHeight="1">
      <c r="A88" s="11" t="s">
        <v>55</v>
      </c>
      <c r="B88" s="11" t="s">
        <v>15</v>
      </c>
      <c r="C88" s="11" t="s">
        <v>1693</v>
      </c>
      <c r="D88" s="11" t="s">
        <v>1694</v>
      </c>
      <c r="E88" s="11" t="s">
        <v>1695</v>
      </c>
      <c r="F88" s="11" t="s">
        <v>59</v>
      </c>
      <c r="G88" s="11" t="s">
        <v>60</v>
      </c>
      <c r="H88" s="11" t="s">
        <v>194</v>
      </c>
      <c r="I88" s="11" t="s">
        <v>1696</v>
      </c>
      <c r="J88" s="11" t="s">
        <v>1697</v>
      </c>
      <c r="K88" s="11" t="s">
        <v>1698</v>
      </c>
      <c r="L88" s="12" t="s">
        <v>65</v>
      </c>
      <c r="M88" s="12" t="s">
        <v>66</v>
      </c>
      <c r="N88" s="11" t="s">
        <v>67</v>
      </c>
      <c r="O88" s="11" t="s">
        <v>68</v>
      </c>
      <c r="P88" s="11" t="s">
        <v>1610</v>
      </c>
      <c r="Q88" s="11">
        <v>310</v>
      </c>
      <c r="R88" s="11" t="s">
        <v>67</v>
      </c>
      <c r="S88" s="11" t="s">
        <v>1136</v>
      </c>
      <c r="T88" s="11" t="s">
        <v>1287</v>
      </c>
      <c r="U88" s="11" t="s">
        <v>1138</v>
      </c>
      <c r="V88" s="11" t="s">
        <v>1699</v>
      </c>
      <c r="W88" s="23" t="s">
        <v>67</v>
      </c>
      <c r="X88" s="13" t="s">
        <v>67</v>
      </c>
    </row>
    <row r="89" spans="1:24" ht="48" customHeight="1">
      <c r="A89" s="11" t="s">
        <v>55</v>
      </c>
      <c r="B89" s="11" t="s">
        <v>15</v>
      </c>
      <c r="C89" s="11" t="s">
        <v>1700</v>
      </c>
      <c r="D89" s="11" t="s">
        <v>1701</v>
      </c>
      <c r="E89" s="11" t="s">
        <v>1695</v>
      </c>
      <c r="F89" s="11" t="s">
        <v>59</v>
      </c>
      <c r="G89" s="11" t="s">
        <v>60</v>
      </c>
      <c r="H89" s="11" t="s">
        <v>200</v>
      </c>
      <c r="I89" s="11" t="s">
        <v>1702</v>
      </c>
      <c r="J89" s="11" t="s">
        <v>1703</v>
      </c>
      <c r="K89" s="11" t="s">
        <v>1704</v>
      </c>
      <c r="L89" s="12" t="s">
        <v>23</v>
      </c>
      <c r="M89" s="12" t="s">
        <v>66</v>
      </c>
      <c r="N89" s="11" t="s">
        <v>67</v>
      </c>
      <c r="O89" s="11" t="s">
        <v>68</v>
      </c>
      <c r="P89" s="11" t="s">
        <v>1610</v>
      </c>
      <c r="Q89" s="11">
        <v>310</v>
      </c>
      <c r="R89" s="11" t="s">
        <v>67</v>
      </c>
      <c r="S89" s="11" t="s">
        <v>1136</v>
      </c>
      <c r="T89" s="11" t="s">
        <v>1287</v>
      </c>
      <c r="U89" s="11" t="s">
        <v>1138</v>
      </c>
      <c r="V89" s="11" t="s">
        <v>1699</v>
      </c>
      <c r="W89" s="23" t="s">
        <v>67</v>
      </c>
      <c r="X89" s="13" t="s">
        <v>67</v>
      </c>
    </row>
    <row r="90" spans="1:24" ht="48" customHeight="1">
      <c r="A90" s="11" t="s">
        <v>55</v>
      </c>
      <c r="B90" s="11" t="s">
        <v>15</v>
      </c>
      <c r="C90" s="11" t="s">
        <v>1705</v>
      </c>
      <c r="D90" s="11" t="s">
        <v>1706</v>
      </c>
      <c r="E90" s="11" t="s">
        <v>1707</v>
      </c>
      <c r="F90" s="11" t="s">
        <v>59</v>
      </c>
      <c r="G90" s="11" t="s">
        <v>60</v>
      </c>
      <c r="H90" s="11" t="s">
        <v>194</v>
      </c>
      <c r="I90" s="11" t="s">
        <v>1708</v>
      </c>
      <c r="J90" s="11" t="s">
        <v>1709</v>
      </c>
      <c r="K90" s="11" t="s">
        <v>1710</v>
      </c>
      <c r="L90" s="12" t="s">
        <v>65</v>
      </c>
      <c r="M90" s="12" t="s">
        <v>66</v>
      </c>
      <c r="N90" s="11" t="s">
        <v>67</v>
      </c>
      <c r="O90" s="11" t="s">
        <v>92</v>
      </c>
      <c r="P90" s="11" t="s">
        <v>67</v>
      </c>
      <c r="Q90" s="11" t="s">
        <v>343</v>
      </c>
      <c r="R90" s="11" t="s">
        <v>67</v>
      </c>
      <c r="S90" s="11" t="s">
        <v>1136</v>
      </c>
      <c r="T90" s="11" t="s">
        <v>1287</v>
      </c>
      <c r="U90" s="11" t="s">
        <v>1138</v>
      </c>
      <c r="V90" s="11" t="s">
        <v>1711</v>
      </c>
      <c r="W90" s="23" t="s">
        <v>67</v>
      </c>
      <c r="X90" s="13" t="s">
        <v>67</v>
      </c>
    </row>
    <row r="91" spans="1:24" ht="75.95" customHeight="1">
      <c r="A91" s="11" t="s">
        <v>55</v>
      </c>
      <c r="B91" s="11" t="s">
        <v>15</v>
      </c>
      <c r="C91" s="11" t="s">
        <v>1712</v>
      </c>
      <c r="D91" s="11" t="s">
        <v>1713</v>
      </c>
      <c r="E91" s="11" t="s">
        <v>1714</v>
      </c>
      <c r="F91" s="11" t="s">
        <v>59</v>
      </c>
      <c r="G91" s="11" t="s">
        <v>60</v>
      </c>
      <c r="H91" s="11" t="s">
        <v>194</v>
      </c>
      <c r="I91" s="11" t="s">
        <v>1715</v>
      </c>
      <c r="J91" s="11" t="s">
        <v>1716</v>
      </c>
      <c r="K91" s="11" t="s">
        <v>1717</v>
      </c>
      <c r="L91" s="12" t="s">
        <v>65</v>
      </c>
      <c r="M91" s="12" t="s">
        <v>66</v>
      </c>
      <c r="N91" s="11" t="s">
        <v>67</v>
      </c>
      <c r="O91" s="11" t="s">
        <v>329</v>
      </c>
      <c r="P91" s="11" t="s">
        <v>67</v>
      </c>
      <c r="Q91" s="11" t="s">
        <v>67</v>
      </c>
      <c r="R91" s="11" t="s">
        <v>67</v>
      </c>
      <c r="S91" s="11" t="s">
        <v>1136</v>
      </c>
      <c r="T91" s="11" t="s">
        <v>1718</v>
      </c>
      <c r="U91" s="11" t="s">
        <v>1138</v>
      </c>
      <c r="V91" s="11" t="s">
        <v>1719</v>
      </c>
      <c r="W91" s="23" t="s">
        <v>67</v>
      </c>
      <c r="X91" s="13" t="s">
        <v>67</v>
      </c>
    </row>
    <row r="92" spans="1:24" ht="62.1" customHeight="1">
      <c r="A92" s="11" t="s">
        <v>55</v>
      </c>
      <c r="B92" s="11" t="s">
        <v>15</v>
      </c>
      <c r="C92" s="11" t="s">
        <v>1720</v>
      </c>
      <c r="D92" s="11" t="s">
        <v>1721</v>
      </c>
      <c r="E92" s="11" t="s">
        <v>1722</v>
      </c>
      <c r="F92" s="11" t="s">
        <v>59</v>
      </c>
      <c r="G92" s="11" t="s">
        <v>60</v>
      </c>
      <c r="H92" s="11" t="s">
        <v>194</v>
      </c>
      <c r="I92" s="11" t="s">
        <v>1723</v>
      </c>
      <c r="J92" s="11" t="s">
        <v>1724</v>
      </c>
      <c r="K92" s="11" t="s">
        <v>1725</v>
      </c>
      <c r="L92" s="12" t="s">
        <v>65</v>
      </c>
      <c r="M92" s="12" t="s">
        <v>66</v>
      </c>
      <c r="N92" s="11" t="s">
        <v>67</v>
      </c>
      <c r="O92" s="11" t="s">
        <v>68</v>
      </c>
      <c r="P92" s="11" t="s">
        <v>883</v>
      </c>
      <c r="Q92" s="11" t="s">
        <v>67</v>
      </c>
      <c r="R92" s="11" t="s">
        <v>67</v>
      </c>
      <c r="S92" s="11" t="s">
        <v>1136</v>
      </c>
      <c r="T92" s="11" t="s">
        <v>1726</v>
      </c>
      <c r="U92" s="11" t="s">
        <v>1138</v>
      </c>
      <c r="V92" s="11" t="s">
        <v>1727</v>
      </c>
      <c r="W92" s="23" t="s">
        <v>67</v>
      </c>
      <c r="X92" s="13" t="s">
        <v>67</v>
      </c>
    </row>
    <row r="93" spans="1:24" ht="62.1" customHeight="1">
      <c r="A93" s="11" t="s">
        <v>55</v>
      </c>
      <c r="B93" s="11" t="s">
        <v>15</v>
      </c>
      <c r="C93" s="11" t="s">
        <v>1728</v>
      </c>
      <c r="D93" s="11" t="s">
        <v>1729</v>
      </c>
      <c r="E93" s="11" t="s">
        <v>1722</v>
      </c>
      <c r="F93" s="11" t="s">
        <v>59</v>
      </c>
      <c r="G93" s="11" t="s">
        <v>60</v>
      </c>
      <c r="H93" s="11" t="s">
        <v>200</v>
      </c>
      <c r="I93" s="11" t="s">
        <v>1730</v>
      </c>
      <c r="J93" s="11" t="s">
        <v>1731</v>
      </c>
      <c r="K93" s="11" t="s">
        <v>1732</v>
      </c>
      <c r="L93" s="12" t="s">
        <v>23</v>
      </c>
      <c r="M93" s="12" t="s">
        <v>66</v>
      </c>
      <c r="N93" s="11" t="s">
        <v>67</v>
      </c>
      <c r="O93" s="11" t="s">
        <v>68</v>
      </c>
      <c r="P93" s="11" t="s">
        <v>883</v>
      </c>
      <c r="Q93" s="11" t="s">
        <v>67</v>
      </c>
      <c r="R93" s="11" t="s">
        <v>67</v>
      </c>
      <c r="S93" s="11" t="s">
        <v>1136</v>
      </c>
      <c r="T93" s="11" t="s">
        <v>1726</v>
      </c>
      <c r="U93" s="11" t="s">
        <v>1138</v>
      </c>
      <c r="V93" s="11" t="s">
        <v>1727</v>
      </c>
      <c r="W93" s="23" t="s">
        <v>67</v>
      </c>
      <c r="X93" s="13" t="s">
        <v>67</v>
      </c>
    </row>
    <row r="94" spans="1:24" ht="62.1" customHeight="1">
      <c r="A94" s="11" t="s">
        <v>55</v>
      </c>
      <c r="B94" s="11" t="s">
        <v>15</v>
      </c>
      <c r="C94" s="11" t="s">
        <v>1733</v>
      </c>
      <c r="D94" s="11" t="s">
        <v>1734</v>
      </c>
      <c r="E94" s="11" t="s">
        <v>1735</v>
      </c>
      <c r="F94" s="11" t="s">
        <v>59</v>
      </c>
      <c r="G94" s="11" t="s">
        <v>60</v>
      </c>
      <c r="H94" s="11" t="s">
        <v>194</v>
      </c>
      <c r="I94" s="11" t="s">
        <v>1736</v>
      </c>
      <c r="J94" s="11" t="s">
        <v>1737</v>
      </c>
      <c r="K94" s="11" t="s">
        <v>1738</v>
      </c>
      <c r="L94" s="12" t="s">
        <v>65</v>
      </c>
      <c r="M94" s="12" t="s">
        <v>66</v>
      </c>
      <c r="N94" s="11" t="s">
        <v>67</v>
      </c>
      <c r="O94" s="11" t="s">
        <v>68</v>
      </c>
      <c r="P94" s="11" t="s">
        <v>67</v>
      </c>
      <c r="Q94" s="11" t="s">
        <v>1739</v>
      </c>
      <c r="R94" s="11" t="s">
        <v>67</v>
      </c>
      <c r="S94" s="11" t="s">
        <v>1136</v>
      </c>
      <c r="T94" s="11" t="s">
        <v>1740</v>
      </c>
      <c r="U94" s="11" t="s">
        <v>1138</v>
      </c>
      <c r="V94" s="11" t="s">
        <v>1741</v>
      </c>
      <c r="W94" s="23" t="s">
        <v>67</v>
      </c>
      <c r="X94" s="13" t="s">
        <v>67</v>
      </c>
    </row>
    <row r="95" spans="1:24" ht="62.1" customHeight="1">
      <c r="A95" s="11" t="s">
        <v>55</v>
      </c>
      <c r="B95" s="11" t="s">
        <v>15</v>
      </c>
      <c r="C95" s="11" t="s">
        <v>1742</v>
      </c>
      <c r="D95" s="11" t="s">
        <v>1743</v>
      </c>
      <c r="E95" s="11" t="s">
        <v>1735</v>
      </c>
      <c r="F95" s="11" t="s">
        <v>59</v>
      </c>
      <c r="G95" s="11" t="s">
        <v>60</v>
      </c>
      <c r="H95" s="11" t="s">
        <v>234</v>
      </c>
      <c r="I95" s="11" t="s">
        <v>1744</v>
      </c>
      <c r="J95" s="11" t="s">
        <v>1745</v>
      </c>
      <c r="K95" s="11" t="s">
        <v>1746</v>
      </c>
      <c r="L95" s="12" t="s">
        <v>23</v>
      </c>
      <c r="M95" s="12" t="s">
        <v>66</v>
      </c>
      <c r="N95" s="11" t="s">
        <v>67</v>
      </c>
      <c r="O95" s="11" t="s">
        <v>68</v>
      </c>
      <c r="P95" s="11" t="s">
        <v>67</v>
      </c>
      <c r="Q95" s="11" t="s">
        <v>1739</v>
      </c>
      <c r="R95" s="11" t="s">
        <v>67</v>
      </c>
      <c r="S95" s="11" t="s">
        <v>1136</v>
      </c>
      <c r="T95" s="11" t="s">
        <v>1740</v>
      </c>
      <c r="U95" s="11" t="s">
        <v>1138</v>
      </c>
      <c r="V95" s="11" t="s">
        <v>1741</v>
      </c>
      <c r="W95" s="23" t="s">
        <v>67</v>
      </c>
      <c r="X95" s="13" t="s">
        <v>67</v>
      </c>
    </row>
    <row r="96" spans="1:24" ht="48" customHeight="1">
      <c r="A96" s="11" t="s">
        <v>55</v>
      </c>
      <c r="B96" s="11" t="s">
        <v>15</v>
      </c>
      <c r="C96" s="11" t="s">
        <v>1747</v>
      </c>
      <c r="D96" s="11" t="s">
        <v>1748</v>
      </c>
      <c r="E96" s="11" t="s">
        <v>1749</v>
      </c>
      <c r="F96" s="11" t="s">
        <v>59</v>
      </c>
      <c r="G96" s="11" t="s">
        <v>60</v>
      </c>
      <c r="H96" s="11" t="s">
        <v>194</v>
      </c>
      <c r="I96" s="11" t="s">
        <v>1750</v>
      </c>
      <c r="J96" s="11" t="s">
        <v>1751</v>
      </c>
      <c r="K96" s="11" t="s">
        <v>1752</v>
      </c>
      <c r="L96" s="12" t="s">
        <v>65</v>
      </c>
      <c r="M96" s="12" t="s">
        <v>66</v>
      </c>
      <c r="N96" s="11" t="s">
        <v>67</v>
      </c>
      <c r="O96" s="11" t="s">
        <v>68</v>
      </c>
      <c r="P96" s="11" t="s">
        <v>883</v>
      </c>
      <c r="Q96" s="11" t="s">
        <v>67</v>
      </c>
      <c r="R96" s="11" t="s">
        <v>67</v>
      </c>
      <c r="S96" s="11" t="s">
        <v>1136</v>
      </c>
      <c r="T96" s="11" t="s">
        <v>1753</v>
      </c>
      <c r="U96" s="11" t="s">
        <v>1138</v>
      </c>
      <c r="V96" s="11" t="s">
        <v>1754</v>
      </c>
      <c r="W96" s="23" t="s">
        <v>67</v>
      </c>
      <c r="X96" s="13" t="s">
        <v>67</v>
      </c>
    </row>
    <row r="97" spans="1:24" ht="48" customHeight="1">
      <c r="A97" s="11" t="s">
        <v>55</v>
      </c>
      <c r="B97" s="11" t="s">
        <v>15</v>
      </c>
      <c r="C97" s="11" t="s">
        <v>1755</v>
      </c>
      <c r="D97" s="11" t="s">
        <v>1756</v>
      </c>
      <c r="E97" s="11" t="s">
        <v>1749</v>
      </c>
      <c r="F97" s="11" t="s">
        <v>59</v>
      </c>
      <c r="G97" s="11" t="s">
        <v>60</v>
      </c>
      <c r="H97" s="11" t="s">
        <v>200</v>
      </c>
      <c r="I97" s="11" t="s">
        <v>1757</v>
      </c>
      <c r="J97" s="11" t="s">
        <v>1758</v>
      </c>
      <c r="K97" s="11" t="s">
        <v>1759</v>
      </c>
      <c r="L97" s="12" t="s">
        <v>23</v>
      </c>
      <c r="M97" s="12" t="s">
        <v>66</v>
      </c>
      <c r="N97" s="11" t="s">
        <v>67</v>
      </c>
      <c r="O97" s="11" t="s">
        <v>68</v>
      </c>
      <c r="P97" s="11" t="s">
        <v>883</v>
      </c>
      <c r="Q97" s="11" t="s">
        <v>67</v>
      </c>
      <c r="R97" s="11" t="s">
        <v>67</v>
      </c>
      <c r="S97" s="11" t="s">
        <v>1136</v>
      </c>
      <c r="T97" s="11" t="s">
        <v>1753</v>
      </c>
      <c r="U97" s="11" t="s">
        <v>1138</v>
      </c>
      <c r="V97" s="11" t="s">
        <v>1754</v>
      </c>
      <c r="W97" s="23" t="s">
        <v>67</v>
      </c>
      <c r="X97" s="13" t="s">
        <v>67</v>
      </c>
    </row>
    <row r="98" spans="1:24" ht="75.95" customHeight="1">
      <c r="A98" s="11" t="s">
        <v>55</v>
      </c>
      <c r="B98" s="11" t="s">
        <v>15</v>
      </c>
      <c r="C98" s="11" t="s">
        <v>1760</v>
      </c>
      <c r="D98" s="11" t="s">
        <v>1761</v>
      </c>
      <c r="E98" s="11" t="s">
        <v>1131</v>
      </c>
      <c r="F98" s="11" t="s">
        <v>59</v>
      </c>
      <c r="G98" s="11" t="s">
        <v>60</v>
      </c>
      <c r="H98" s="11" t="s">
        <v>234</v>
      </c>
      <c r="I98" s="11" t="s">
        <v>1762</v>
      </c>
      <c r="J98" s="11" t="s">
        <v>1763</v>
      </c>
      <c r="K98" s="11" t="s">
        <v>1764</v>
      </c>
      <c r="L98" s="12" t="s">
        <v>23</v>
      </c>
      <c r="M98" s="12" t="s">
        <v>66</v>
      </c>
      <c r="N98" s="11" t="s">
        <v>67</v>
      </c>
      <c r="O98" s="11" t="s">
        <v>68</v>
      </c>
      <c r="P98" s="11">
        <v>8</v>
      </c>
      <c r="Q98" s="11" t="s">
        <v>1135</v>
      </c>
      <c r="R98" s="11" t="s">
        <v>67</v>
      </c>
      <c r="S98" s="11" t="s">
        <v>212</v>
      </c>
      <c r="T98" s="11" t="s">
        <v>1765</v>
      </c>
      <c r="U98" s="11" t="s">
        <v>1766</v>
      </c>
      <c r="V98" s="11" t="s">
        <v>1767</v>
      </c>
      <c r="W98" s="23" t="s">
        <v>67</v>
      </c>
      <c r="X98" s="13" t="s">
        <v>67</v>
      </c>
    </row>
    <row r="99" spans="1:24" ht="75.95" customHeight="1">
      <c r="A99" s="11" t="s">
        <v>55</v>
      </c>
      <c r="B99" s="11" t="s">
        <v>15</v>
      </c>
      <c r="C99" s="11" t="s">
        <v>1768</v>
      </c>
      <c r="D99" s="11" t="s">
        <v>1769</v>
      </c>
      <c r="E99" s="11" t="s">
        <v>1770</v>
      </c>
      <c r="F99" s="11" t="s">
        <v>1771</v>
      </c>
      <c r="G99" s="11" t="s">
        <v>979</v>
      </c>
      <c r="H99" s="11" t="s">
        <v>1772</v>
      </c>
      <c r="I99" s="11" t="s">
        <v>1773</v>
      </c>
      <c r="J99" s="11" t="s">
        <v>67</v>
      </c>
      <c r="K99" s="11" t="s">
        <v>1774</v>
      </c>
      <c r="L99" s="12" t="s">
        <v>25</v>
      </c>
      <c r="M99" s="12" t="s">
        <v>67</v>
      </c>
      <c r="N99" s="11" t="s">
        <v>1775</v>
      </c>
      <c r="O99" s="11" t="s">
        <v>1776</v>
      </c>
      <c r="P99" s="11" t="s">
        <v>1777</v>
      </c>
      <c r="Q99" s="11" t="s">
        <v>1135</v>
      </c>
      <c r="R99" s="11" t="s">
        <v>67</v>
      </c>
      <c r="S99" s="11" t="s">
        <v>212</v>
      </c>
      <c r="T99" s="11" t="s">
        <v>1778</v>
      </c>
      <c r="U99" s="11" t="s">
        <v>1766</v>
      </c>
      <c r="V99" s="11" t="s">
        <v>1779</v>
      </c>
      <c r="W99" s="23" t="s">
        <v>67</v>
      </c>
      <c r="X99" s="13" t="s">
        <v>67</v>
      </c>
    </row>
    <row r="100" spans="1:24" ht="62.1" customHeight="1">
      <c r="A100" s="11" t="s">
        <v>55</v>
      </c>
      <c r="B100" s="11" t="s">
        <v>15</v>
      </c>
      <c r="C100" s="11" t="s">
        <v>1780</v>
      </c>
      <c r="D100" s="11" t="s">
        <v>1781</v>
      </c>
      <c r="E100" s="11" t="s">
        <v>1782</v>
      </c>
      <c r="F100" s="11" t="s">
        <v>996</v>
      </c>
      <c r="G100" s="11" t="s">
        <v>979</v>
      </c>
      <c r="H100" s="11" t="s">
        <v>996</v>
      </c>
      <c r="I100" s="11" t="s">
        <v>1783</v>
      </c>
      <c r="J100" s="11" t="s">
        <v>1784</v>
      </c>
      <c r="K100" s="11" t="s">
        <v>1785</v>
      </c>
      <c r="L100" s="12" t="s">
        <v>23</v>
      </c>
      <c r="M100" s="12" t="s">
        <v>66</v>
      </c>
      <c r="N100" s="11"/>
      <c r="O100" s="11" t="s">
        <v>68</v>
      </c>
      <c r="P100" s="11" t="s">
        <v>1786</v>
      </c>
      <c r="Q100" s="11" t="s">
        <v>1135</v>
      </c>
      <c r="R100" s="11" t="s">
        <v>67</v>
      </c>
      <c r="S100" s="11" t="s">
        <v>1787</v>
      </c>
      <c r="T100" s="11" t="s">
        <v>1788</v>
      </c>
      <c r="U100" s="11" t="s">
        <v>1789</v>
      </c>
      <c r="V100" s="11" t="s">
        <v>1790</v>
      </c>
      <c r="W100" s="23" t="s">
        <v>1791</v>
      </c>
      <c r="X100" s="13" t="s">
        <v>1792</v>
      </c>
    </row>
    <row r="101" spans="1:24" ht="90" customHeight="1">
      <c r="A101" s="11" t="s">
        <v>55</v>
      </c>
      <c r="B101" s="11" t="s">
        <v>15</v>
      </c>
      <c r="C101" s="11" t="s">
        <v>1793</v>
      </c>
      <c r="D101" s="11" t="s">
        <v>1794</v>
      </c>
      <c r="E101" s="11" t="s">
        <v>1795</v>
      </c>
      <c r="F101" s="11" t="s">
        <v>978</v>
      </c>
      <c r="G101" s="11" t="s">
        <v>979</v>
      </c>
      <c r="H101" s="11" t="s">
        <v>996</v>
      </c>
      <c r="I101" s="11" t="s">
        <v>1796</v>
      </c>
      <c r="J101" s="11" t="s">
        <v>1797</v>
      </c>
      <c r="K101" s="11" t="s">
        <v>1798</v>
      </c>
      <c r="L101" s="12" t="s">
        <v>23</v>
      </c>
      <c r="M101" s="12" t="s">
        <v>673</v>
      </c>
      <c r="N101" s="11" t="s">
        <v>67</v>
      </c>
      <c r="O101" s="11" t="s">
        <v>68</v>
      </c>
      <c r="P101" s="11" t="s">
        <v>244</v>
      </c>
      <c r="Q101" s="11" t="s">
        <v>1799</v>
      </c>
      <c r="R101" s="11" t="s">
        <v>67</v>
      </c>
      <c r="S101" s="11" t="s">
        <v>1787</v>
      </c>
      <c r="T101" s="11" t="s">
        <v>1800</v>
      </c>
      <c r="U101" s="11" t="s">
        <v>1789</v>
      </c>
      <c r="V101" s="11" t="s">
        <v>1801</v>
      </c>
      <c r="W101" s="23" t="s">
        <v>1802</v>
      </c>
      <c r="X101" s="13" t="s">
        <v>1803</v>
      </c>
    </row>
    <row r="102" spans="1:24" ht="90" customHeight="1">
      <c r="A102" s="11" t="s">
        <v>55</v>
      </c>
      <c r="B102" s="11" t="s">
        <v>15</v>
      </c>
      <c r="C102" s="11" t="s">
        <v>1804</v>
      </c>
      <c r="D102" s="11" t="s">
        <v>1805</v>
      </c>
      <c r="E102" s="11" t="s">
        <v>1806</v>
      </c>
      <c r="F102" s="11" t="s">
        <v>996</v>
      </c>
      <c r="G102" s="11" t="s">
        <v>979</v>
      </c>
      <c r="H102" s="11" t="s">
        <v>234</v>
      </c>
      <c r="I102" s="11" t="s">
        <v>1807</v>
      </c>
      <c r="J102" s="11" t="s">
        <v>67</v>
      </c>
      <c r="K102" s="11" t="s">
        <v>1808</v>
      </c>
      <c r="L102" s="12" t="s">
        <v>25</v>
      </c>
      <c r="M102" s="12" t="s">
        <v>67</v>
      </c>
      <c r="N102" s="11" t="s">
        <v>1809</v>
      </c>
      <c r="O102" s="11" t="s">
        <v>68</v>
      </c>
      <c r="P102" s="11" t="s">
        <v>67</v>
      </c>
      <c r="Q102" s="11" t="s">
        <v>1799</v>
      </c>
      <c r="R102" s="11" t="s">
        <v>67</v>
      </c>
      <c r="S102" s="11" t="s">
        <v>1810</v>
      </c>
      <c r="T102" s="11" t="s">
        <v>1811</v>
      </c>
      <c r="U102" s="11" t="s">
        <v>1789</v>
      </c>
      <c r="V102" s="11" t="s">
        <v>1812</v>
      </c>
      <c r="W102" s="23" t="s">
        <v>1813</v>
      </c>
      <c r="X102" s="13" t="s">
        <v>1814</v>
      </c>
    </row>
    <row r="103" spans="1:24" ht="75.95" customHeight="1">
      <c r="A103" s="11" t="s">
        <v>55</v>
      </c>
      <c r="B103" s="11" t="s">
        <v>15</v>
      </c>
      <c r="C103" s="11" t="s">
        <v>1815</v>
      </c>
      <c r="D103" s="11" t="s">
        <v>1816</v>
      </c>
      <c r="E103" s="11" t="s">
        <v>1806</v>
      </c>
      <c r="F103" s="11" t="s">
        <v>996</v>
      </c>
      <c r="G103" s="11" t="s">
        <v>979</v>
      </c>
      <c r="H103" s="11" t="s">
        <v>996</v>
      </c>
      <c r="I103" s="11" t="s">
        <v>1817</v>
      </c>
      <c r="J103" s="11" t="s">
        <v>67</v>
      </c>
      <c r="K103" s="11" t="s">
        <v>1818</v>
      </c>
      <c r="L103" s="12" t="s">
        <v>25</v>
      </c>
      <c r="M103" s="12" t="s">
        <v>67</v>
      </c>
      <c r="N103" s="11" t="s">
        <v>1809</v>
      </c>
      <c r="O103" s="11" t="s">
        <v>68</v>
      </c>
      <c r="P103" s="11" t="s">
        <v>67</v>
      </c>
      <c r="Q103" s="11" t="s">
        <v>1799</v>
      </c>
      <c r="R103" s="11" t="s">
        <v>67</v>
      </c>
      <c r="S103" s="11" t="s">
        <v>1810</v>
      </c>
      <c r="T103" s="11" t="s">
        <v>1819</v>
      </c>
      <c r="U103" s="11" t="s">
        <v>1789</v>
      </c>
      <c r="V103" s="11" t="s">
        <v>1820</v>
      </c>
      <c r="W103" s="23" t="s">
        <v>1821</v>
      </c>
      <c r="X103" s="13" t="s">
        <v>1822</v>
      </c>
    </row>
    <row r="104" spans="1:24" ht="104.1" customHeight="1">
      <c r="A104" s="11" t="s">
        <v>55</v>
      </c>
      <c r="B104" s="11" t="s">
        <v>15</v>
      </c>
      <c r="C104" s="11" t="s">
        <v>1823</v>
      </c>
      <c r="D104" s="11" t="s">
        <v>1824</v>
      </c>
      <c r="E104" s="11" t="s">
        <v>1825</v>
      </c>
      <c r="F104" s="11" t="s">
        <v>996</v>
      </c>
      <c r="G104" s="11" t="s">
        <v>979</v>
      </c>
      <c r="H104" s="11" t="s">
        <v>996</v>
      </c>
      <c r="I104" s="11" t="s">
        <v>1826</v>
      </c>
      <c r="J104" s="11" t="s">
        <v>67</v>
      </c>
      <c r="K104" s="11" t="s">
        <v>1827</v>
      </c>
      <c r="L104" s="12" t="s">
        <v>25</v>
      </c>
      <c r="M104" s="12" t="s">
        <v>67</v>
      </c>
      <c r="N104" s="11" t="s">
        <v>1828</v>
      </c>
      <c r="O104" s="11" t="s">
        <v>68</v>
      </c>
      <c r="P104" s="11" t="s">
        <v>67</v>
      </c>
      <c r="Q104" s="11" t="s">
        <v>1799</v>
      </c>
      <c r="R104" s="11" t="s">
        <v>67</v>
      </c>
      <c r="S104" s="11" t="s">
        <v>1787</v>
      </c>
      <c r="T104" s="11" t="s">
        <v>1829</v>
      </c>
      <c r="U104" s="11" t="s">
        <v>1789</v>
      </c>
      <c r="V104" s="11" t="s">
        <v>1830</v>
      </c>
      <c r="W104" s="23" t="s">
        <v>1831</v>
      </c>
      <c r="X104" s="13" t="s">
        <v>1832</v>
      </c>
    </row>
    <row r="105" spans="1:24" ht="90" customHeight="1">
      <c r="A105" s="11" t="s">
        <v>55</v>
      </c>
      <c r="B105" s="11" t="s">
        <v>15</v>
      </c>
      <c r="C105" s="11" t="s">
        <v>1833</v>
      </c>
      <c r="D105" s="11" t="s">
        <v>1834</v>
      </c>
      <c r="E105" s="11" t="s">
        <v>1825</v>
      </c>
      <c r="F105" s="11" t="s">
        <v>996</v>
      </c>
      <c r="G105" s="11" t="s">
        <v>979</v>
      </c>
      <c r="H105" s="11" t="s">
        <v>996</v>
      </c>
      <c r="I105" s="11" t="s">
        <v>1835</v>
      </c>
      <c r="J105" s="11" t="s">
        <v>67</v>
      </c>
      <c r="K105" s="11" t="s">
        <v>1827</v>
      </c>
      <c r="L105" s="12" t="s">
        <v>25</v>
      </c>
      <c r="M105" s="12" t="s">
        <v>67</v>
      </c>
      <c r="N105" s="11" t="s">
        <v>1828</v>
      </c>
      <c r="O105" s="11" t="s">
        <v>68</v>
      </c>
      <c r="P105" s="11" t="s">
        <v>67</v>
      </c>
      <c r="Q105" s="11" t="s">
        <v>1799</v>
      </c>
      <c r="R105" s="11" t="s">
        <v>67</v>
      </c>
      <c r="S105" s="11" t="s">
        <v>1787</v>
      </c>
      <c r="T105" s="11" t="s">
        <v>1836</v>
      </c>
      <c r="U105" s="11" t="s">
        <v>1789</v>
      </c>
      <c r="V105" s="11" t="s">
        <v>1837</v>
      </c>
      <c r="W105" s="23" t="s">
        <v>1838</v>
      </c>
      <c r="X105" s="13" t="s">
        <v>1839</v>
      </c>
    </row>
    <row r="106" spans="1:24" ht="90" customHeight="1">
      <c r="A106" s="11" t="s">
        <v>55</v>
      </c>
      <c r="B106" s="11" t="s">
        <v>15</v>
      </c>
      <c r="C106" s="11" t="s">
        <v>1840</v>
      </c>
      <c r="D106" s="11" t="s">
        <v>1841</v>
      </c>
      <c r="E106" s="11" t="s">
        <v>1825</v>
      </c>
      <c r="F106" s="11" t="s">
        <v>996</v>
      </c>
      <c r="G106" s="11" t="s">
        <v>979</v>
      </c>
      <c r="H106" s="11" t="s">
        <v>996</v>
      </c>
      <c r="I106" s="11" t="s">
        <v>1842</v>
      </c>
      <c r="J106" s="11" t="s">
        <v>67</v>
      </c>
      <c r="K106" s="11" t="s">
        <v>1827</v>
      </c>
      <c r="L106" s="12" t="s">
        <v>25</v>
      </c>
      <c r="M106" s="12" t="s">
        <v>67</v>
      </c>
      <c r="N106" s="11" t="s">
        <v>1828</v>
      </c>
      <c r="O106" s="11" t="s">
        <v>68</v>
      </c>
      <c r="P106" s="11" t="s">
        <v>67</v>
      </c>
      <c r="Q106" s="11" t="s">
        <v>1799</v>
      </c>
      <c r="R106" s="11" t="s">
        <v>67</v>
      </c>
      <c r="S106" s="11" t="s">
        <v>1787</v>
      </c>
      <c r="T106" s="11" t="s">
        <v>1843</v>
      </c>
      <c r="U106" s="11" t="s">
        <v>1789</v>
      </c>
      <c r="V106" s="11" t="s">
        <v>1844</v>
      </c>
      <c r="W106" s="23" t="s">
        <v>1845</v>
      </c>
      <c r="X106" s="13" t="s">
        <v>1846</v>
      </c>
    </row>
    <row r="107" spans="1:24" ht="104.1" customHeight="1">
      <c r="A107" s="11" t="s">
        <v>55</v>
      </c>
      <c r="B107" s="11" t="s">
        <v>15</v>
      </c>
      <c r="C107" s="11" t="s">
        <v>1847</v>
      </c>
      <c r="D107" s="11" t="s">
        <v>1848</v>
      </c>
      <c r="E107" s="11" t="s">
        <v>1825</v>
      </c>
      <c r="F107" s="11" t="s">
        <v>996</v>
      </c>
      <c r="G107" s="11" t="s">
        <v>979</v>
      </c>
      <c r="H107" s="11" t="s">
        <v>996</v>
      </c>
      <c r="I107" s="11" t="s">
        <v>1849</v>
      </c>
      <c r="J107" s="11" t="s">
        <v>67</v>
      </c>
      <c r="K107" s="11" t="s">
        <v>1827</v>
      </c>
      <c r="L107" s="12" t="s">
        <v>25</v>
      </c>
      <c r="M107" s="12" t="s">
        <v>67</v>
      </c>
      <c r="N107" s="11" t="s">
        <v>1828</v>
      </c>
      <c r="O107" s="11" t="s">
        <v>68</v>
      </c>
      <c r="P107" s="11" t="s">
        <v>67</v>
      </c>
      <c r="Q107" s="11" t="s">
        <v>1799</v>
      </c>
      <c r="R107" s="11" t="s">
        <v>67</v>
      </c>
      <c r="S107" s="11" t="s">
        <v>1787</v>
      </c>
      <c r="T107" s="11" t="s">
        <v>1850</v>
      </c>
      <c r="U107" s="11" t="s">
        <v>1789</v>
      </c>
      <c r="V107" s="11" t="s">
        <v>1851</v>
      </c>
      <c r="W107" s="23" t="s">
        <v>1852</v>
      </c>
      <c r="X107" s="13" t="s">
        <v>1853</v>
      </c>
    </row>
    <row r="108" spans="1:24" ht="104.1" customHeight="1">
      <c r="A108" s="11" t="s">
        <v>55</v>
      </c>
      <c r="B108" s="11" t="s">
        <v>15</v>
      </c>
      <c r="C108" s="11" t="s">
        <v>1854</v>
      </c>
      <c r="D108" s="11" t="s">
        <v>1855</v>
      </c>
      <c r="E108" s="11" t="s">
        <v>1825</v>
      </c>
      <c r="F108" s="11" t="s">
        <v>996</v>
      </c>
      <c r="G108" s="11" t="s">
        <v>979</v>
      </c>
      <c r="H108" s="11" t="s">
        <v>996</v>
      </c>
      <c r="I108" s="11" t="s">
        <v>1856</v>
      </c>
      <c r="J108" s="11" t="s">
        <v>67</v>
      </c>
      <c r="K108" s="11" t="s">
        <v>1827</v>
      </c>
      <c r="L108" s="12" t="s">
        <v>25</v>
      </c>
      <c r="M108" s="12" t="s">
        <v>67</v>
      </c>
      <c r="N108" s="11" t="s">
        <v>1828</v>
      </c>
      <c r="O108" s="11" t="s">
        <v>68</v>
      </c>
      <c r="P108" s="11" t="s">
        <v>67</v>
      </c>
      <c r="Q108" s="11" t="s">
        <v>1799</v>
      </c>
      <c r="R108" s="11" t="s">
        <v>67</v>
      </c>
      <c r="S108" s="11" t="s">
        <v>1787</v>
      </c>
      <c r="T108" s="11" t="s">
        <v>1857</v>
      </c>
      <c r="U108" s="11" t="s">
        <v>1789</v>
      </c>
      <c r="V108" s="11" t="s">
        <v>1858</v>
      </c>
      <c r="W108" s="23" t="s">
        <v>1859</v>
      </c>
      <c r="X108" s="13" t="s">
        <v>1860</v>
      </c>
    </row>
    <row r="109" spans="1:24" ht="104.1" customHeight="1">
      <c r="A109" s="11" t="s">
        <v>55</v>
      </c>
      <c r="B109" s="11" t="s">
        <v>15</v>
      </c>
      <c r="C109" s="11" t="s">
        <v>1861</v>
      </c>
      <c r="D109" s="11" t="s">
        <v>1862</v>
      </c>
      <c r="E109" s="11" t="s">
        <v>1825</v>
      </c>
      <c r="F109" s="11" t="s">
        <v>996</v>
      </c>
      <c r="G109" s="11" t="s">
        <v>979</v>
      </c>
      <c r="H109" s="11" t="s">
        <v>996</v>
      </c>
      <c r="I109" s="11" t="s">
        <v>1863</v>
      </c>
      <c r="J109" s="11" t="s">
        <v>67</v>
      </c>
      <c r="K109" s="11" t="s">
        <v>1827</v>
      </c>
      <c r="L109" s="12" t="s">
        <v>25</v>
      </c>
      <c r="M109" s="12" t="s">
        <v>67</v>
      </c>
      <c r="N109" s="11" t="s">
        <v>1828</v>
      </c>
      <c r="O109" s="11" t="s">
        <v>68</v>
      </c>
      <c r="P109" s="11" t="s">
        <v>67</v>
      </c>
      <c r="Q109" s="11" t="s">
        <v>1799</v>
      </c>
      <c r="R109" s="11" t="s">
        <v>67</v>
      </c>
      <c r="S109" s="11" t="s">
        <v>1787</v>
      </c>
      <c r="T109" s="11" t="s">
        <v>1864</v>
      </c>
      <c r="U109" s="11" t="s">
        <v>1789</v>
      </c>
      <c r="V109" s="11" t="s">
        <v>1865</v>
      </c>
      <c r="W109" s="23" t="s">
        <v>1866</v>
      </c>
      <c r="X109" s="13" t="s">
        <v>1867</v>
      </c>
    </row>
    <row r="110" spans="1:24" ht="75.95" customHeight="1">
      <c r="A110" s="11" t="s">
        <v>55</v>
      </c>
      <c r="B110" s="11" t="s">
        <v>15</v>
      </c>
      <c r="C110" s="11" t="s">
        <v>1868</v>
      </c>
      <c r="D110" s="11" t="s">
        <v>1869</v>
      </c>
      <c r="E110" s="11" t="s">
        <v>1825</v>
      </c>
      <c r="F110" s="11" t="s">
        <v>1870</v>
      </c>
      <c r="G110" s="11" t="s">
        <v>979</v>
      </c>
      <c r="H110" s="11" t="s">
        <v>1871</v>
      </c>
      <c r="I110" s="11" t="s">
        <v>1872</v>
      </c>
      <c r="J110" s="11" t="s">
        <v>67</v>
      </c>
      <c r="K110" s="11" t="s">
        <v>1827</v>
      </c>
      <c r="L110" s="12" t="s">
        <v>25</v>
      </c>
      <c r="M110" s="12" t="s">
        <v>67</v>
      </c>
      <c r="N110" s="11" t="s">
        <v>1828</v>
      </c>
      <c r="O110" s="11" t="s">
        <v>68</v>
      </c>
      <c r="P110" s="11" t="s">
        <v>67</v>
      </c>
      <c r="Q110" s="11" t="s">
        <v>1799</v>
      </c>
      <c r="R110" s="11" t="s">
        <v>67</v>
      </c>
      <c r="S110" s="11" t="s">
        <v>1873</v>
      </c>
      <c r="T110" s="11" t="s">
        <v>1874</v>
      </c>
      <c r="U110" s="11" t="s">
        <v>1789</v>
      </c>
      <c r="V110" s="11" t="s">
        <v>1875</v>
      </c>
      <c r="W110" s="23" t="s">
        <v>1876</v>
      </c>
      <c r="X110" s="13" t="s">
        <v>1877</v>
      </c>
    </row>
    <row r="111" spans="1:24" ht="48" customHeight="1">
      <c r="A111" s="11" t="s">
        <v>55</v>
      </c>
      <c r="B111" s="11" t="s">
        <v>15</v>
      </c>
      <c r="C111" s="11" t="s">
        <v>1878</v>
      </c>
      <c r="D111" s="11" t="s">
        <v>1879</v>
      </c>
      <c r="E111" s="11" t="s">
        <v>1880</v>
      </c>
      <c r="F111" s="11" t="s">
        <v>996</v>
      </c>
      <c r="G111" s="11" t="s">
        <v>979</v>
      </c>
      <c r="H111" s="11" t="s">
        <v>996</v>
      </c>
      <c r="I111" s="11" t="s">
        <v>1881</v>
      </c>
      <c r="J111" s="11" t="s">
        <v>67</v>
      </c>
      <c r="K111" s="11" t="s">
        <v>1882</v>
      </c>
      <c r="L111" s="12" t="s">
        <v>25</v>
      </c>
      <c r="M111" s="12" t="s">
        <v>67</v>
      </c>
      <c r="N111" s="11" t="s">
        <v>1883</v>
      </c>
      <c r="O111" s="11" t="s">
        <v>68</v>
      </c>
      <c r="P111" s="11" t="s">
        <v>1146</v>
      </c>
      <c r="Q111" s="11" t="s">
        <v>67</v>
      </c>
      <c r="R111" s="11" t="s">
        <v>67</v>
      </c>
      <c r="S111" s="11" t="s">
        <v>212</v>
      </c>
      <c r="T111" s="11" t="s">
        <v>1884</v>
      </c>
      <c r="U111" s="11" t="s">
        <v>1766</v>
      </c>
      <c r="V111" s="11" t="s">
        <v>1885</v>
      </c>
      <c r="W111" s="23" t="s">
        <v>67</v>
      </c>
      <c r="X111" s="13" t="s">
        <v>67</v>
      </c>
    </row>
    <row r="112" spans="1:24" ht="48" customHeight="1">
      <c r="A112" s="11" t="s">
        <v>55</v>
      </c>
      <c r="B112" s="11" t="s">
        <v>15</v>
      </c>
      <c r="C112" s="11" t="s">
        <v>1886</v>
      </c>
      <c r="D112" s="11" t="s">
        <v>1887</v>
      </c>
      <c r="E112" s="11" t="s">
        <v>1888</v>
      </c>
      <c r="F112" s="11" t="s">
        <v>1771</v>
      </c>
      <c r="G112" s="11" t="s">
        <v>979</v>
      </c>
      <c r="H112" s="11" t="s">
        <v>1772</v>
      </c>
      <c r="I112" s="11" t="s">
        <v>1889</v>
      </c>
      <c r="J112" s="11" t="s">
        <v>67</v>
      </c>
      <c r="K112" s="11" t="s">
        <v>1890</v>
      </c>
      <c r="L112" s="12" t="s">
        <v>25</v>
      </c>
      <c r="M112" s="12" t="s">
        <v>67</v>
      </c>
      <c r="N112" s="11" t="s">
        <v>1775</v>
      </c>
      <c r="O112" s="11" t="s">
        <v>68</v>
      </c>
      <c r="P112" s="11" t="s">
        <v>1146</v>
      </c>
      <c r="Q112" s="11" t="s">
        <v>67</v>
      </c>
      <c r="R112" s="11" t="s">
        <v>67</v>
      </c>
      <c r="S112" s="11" t="s">
        <v>212</v>
      </c>
      <c r="T112" s="11" t="s">
        <v>1891</v>
      </c>
      <c r="U112" s="11" t="s">
        <v>1766</v>
      </c>
      <c r="V112" s="11" t="s">
        <v>1892</v>
      </c>
      <c r="W112" s="23" t="s">
        <v>67</v>
      </c>
      <c r="X112" s="13" t="s">
        <v>67</v>
      </c>
    </row>
    <row r="113" spans="1:24" ht="117.95" customHeight="1">
      <c r="A113" s="11" t="s">
        <v>55</v>
      </c>
      <c r="B113" s="11" t="s">
        <v>15</v>
      </c>
      <c r="C113" s="11" t="s">
        <v>1893</v>
      </c>
      <c r="D113" s="11" t="s">
        <v>1894</v>
      </c>
      <c r="E113" s="11" t="s">
        <v>1184</v>
      </c>
      <c r="F113" s="11" t="s">
        <v>59</v>
      </c>
      <c r="G113" s="11" t="s">
        <v>979</v>
      </c>
      <c r="H113" s="11" t="s">
        <v>234</v>
      </c>
      <c r="I113" s="11" t="s">
        <v>235</v>
      </c>
      <c r="J113" s="11" t="s">
        <v>67</v>
      </c>
      <c r="K113" s="11" t="s">
        <v>1895</v>
      </c>
      <c r="L113" s="12" t="s">
        <v>25</v>
      </c>
      <c r="M113" s="12" t="s">
        <v>67</v>
      </c>
      <c r="N113" s="11" t="s">
        <v>237</v>
      </c>
      <c r="O113" s="11" t="s">
        <v>68</v>
      </c>
      <c r="P113" s="11" t="s">
        <v>1146</v>
      </c>
      <c r="Q113" s="11" t="s">
        <v>67</v>
      </c>
      <c r="R113" s="11" t="s">
        <v>67</v>
      </c>
      <c r="S113" s="11" t="s">
        <v>212</v>
      </c>
      <c r="T113" s="11" t="s">
        <v>1896</v>
      </c>
      <c r="U113" s="11" t="s">
        <v>1766</v>
      </c>
      <c r="V113" s="11" t="s">
        <v>1897</v>
      </c>
      <c r="W113" s="23" t="s">
        <v>67</v>
      </c>
      <c r="X113" s="13" t="s">
        <v>67</v>
      </c>
    </row>
    <row r="114" spans="1:24" ht="90" customHeight="1">
      <c r="A114" s="11" t="s">
        <v>55</v>
      </c>
      <c r="B114" s="11" t="s">
        <v>15</v>
      </c>
      <c r="C114" s="11" t="s">
        <v>1898</v>
      </c>
      <c r="D114" s="11" t="s">
        <v>1899</v>
      </c>
      <c r="E114" s="11" t="s">
        <v>1900</v>
      </c>
      <c r="F114" s="11" t="s">
        <v>996</v>
      </c>
      <c r="G114" s="11" t="s">
        <v>60</v>
      </c>
      <c r="H114" s="11" t="s">
        <v>200</v>
      </c>
      <c r="I114" s="11" t="s">
        <v>1901</v>
      </c>
      <c r="J114" s="11" t="s">
        <v>1902</v>
      </c>
      <c r="K114" s="11" t="s">
        <v>1903</v>
      </c>
      <c r="L114" s="12" t="s">
        <v>106</v>
      </c>
      <c r="M114" s="12" t="s">
        <v>67</v>
      </c>
      <c r="N114" s="11" t="s">
        <v>1904</v>
      </c>
      <c r="O114" s="11" t="s">
        <v>68</v>
      </c>
      <c r="P114" s="11" t="s">
        <v>1146</v>
      </c>
      <c r="Q114" s="11" t="s">
        <v>67</v>
      </c>
      <c r="R114" s="11" t="s">
        <v>67</v>
      </c>
      <c r="S114" s="11" t="s">
        <v>1810</v>
      </c>
      <c r="T114" s="11" t="s">
        <v>1905</v>
      </c>
      <c r="U114" s="11" t="s">
        <v>1789</v>
      </c>
      <c r="V114" s="11" t="s">
        <v>1906</v>
      </c>
      <c r="W114" s="23" t="s">
        <v>1907</v>
      </c>
      <c r="X114" s="13" t="s">
        <v>1908</v>
      </c>
    </row>
    <row r="115" spans="1:24" ht="104.1" customHeight="1">
      <c r="A115" s="11" t="s">
        <v>55</v>
      </c>
      <c r="B115" s="11" t="s">
        <v>15</v>
      </c>
      <c r="C115" s="11" t="s">
        <v>1909</v>
      </c>
      <c r="D115" s="11" t="s">
        <v>1910</v>
      </c>
      <c r="E115" s="11" t="s">
        <v>1197</v>
      </c>
      <c r="F115" s="11" t="s">
        <v>59</v>
      </c>
      <c r="G115" s="11" t="s">
        <v>60</v>
      </c>
      <c r="H115" s="11" t="s">
        <v>234</v>
      </c>
      <c r="I115" s="11" t="s">
        <v>235</v>
      </c>
      <c r="J115" s="11" t="s">
        <v>67</v>
      </c>
      <c r="K115" s="11" t="s">
        <v>1911</v>
      </c>
      <c r="L115" s="12" t="s">
        <v>25</v>
      </c>
      <c r="M115" s="12" t="s">
        <v>67</v>
      </c>
      <c r="N115" s="11" t="s">
        <v>237</v>
      </c>
      <c r="O115" s="11" t="s">
        <v>68</v>
      </c>
      <c r="P115" s="11" t="s">
        <v>1146</v>
      </c>
      <c r="Q115" s="11" t="s">
        <v>67</v>
      </c>
      <c r="R115" s="11" t="s">
        <v>67</v>
      </c>
      <c r="S115" s="11" t="s">
        <v>212</v>
      </c>
      <c r="T115" s="11" t="s">
        <v>1912</v>
      </c>
      <c r="U115" s="11" t="s">
        <v>1766</v>
      </c>
      <c r="V115" s="11" t="s">
        <v>1913</v>
      </c>
      <c r="W115" s="23" t="s">
        <v>67</v>
      </c>
      <c r="X115" s="13" t="s">
        <v>67</v>
      </c>
    </row>
    <row r="116" spans="1:24" ht="104.1" customHeight="1">
      <c r="A116" s="11" t="s">
        <v>55</v>
      </c>
      <c r="B116" s="11" t="s">
        <v>15</v>
      </c>
      <c r="C116" s="11" t="s">
        <v>1914</v>
      </c>
      <c r="D116" s="11" t="s">
        <v>1915</v>
      </c>
      <c r="E116" s="11" t="s">
        <v>1210</v>
      </c>
      <c r="F116" s="11" t="s">
        <v>59</v>
      </c>
      <c r="G116" s="11" t="s">
        <v>60</v>
      </c>
      <c r="H116" s="11" t="s">
        <v>234</v>
      </c>
      <c r="I116" s="11" t="s">
        <v>235</v>
      </c>
      <c r="J116" s="11" t="s">
        <v>67</v>
      </c>
      <c r="K116" s="11" t="s">
        <v>1916</v>
      </c>
      <c r="L116" s="12" t="s">
        <v>25</v>
      </c>
      <c r="M116" s="12" t="s">
        <v>67</v>
      </c>
      <c r="N116" s="11" t="s">
        <v>237</v>
      </c>
      <c r="O116" s="11" t="s">
        <v>68</v>
      </c>
      <c r="P116" s="11" t="s">
        <v>1146</v>
      </c>
      <c r="Q116" s="11" t="s">
        <v>67</v>
      </c>
      <c r="R116" s="11" t="s">
        <v>67</v>
      </c>
      <c r="S116" s="11" t="s">
        <v>212</v>
      </c>
      <c r="T116" s="11" t="s">
        <v>1917</v>
      </c>
      <c r="U116" s="11" t="s">
        <v>1766</v>
      </c>
      <c r="V116" s="11" t="s">
        <v>1918</v>
      </c>
      <c r="W116" s="23" t="s">
        <v>67</v>
      </c>
      <c r="X116" s="13" t="s">
        <v>67</v>
      </c>
    </row>
    <row r="117" spans="1:24" ht="75.95" customHeight="1">
      <c r="A117" s="11" t="s">
        <v>55</v>
      </c>
      <c r="B117" s="11" t="s">
        <v>15</v>
      </c>
      <c r="C117" s="11" t="s">
        <v>1919</v>
      </c>
      <c r="D117" s="11" t="s">
        <v>1920</v>
      </c>
      <c r="E117" s="11" t="s">
        <v>1223</v>
      </c>
      <c r="F117" s="11" t="s">
        <v>59</v>
      </c>
      <c r="G117" s="11" t="s">
        <v>60</v>
      </c>
      <c r="H117" s="11" t="s">
        <v>61</v>
      </c>
      <c r="I117" s="11" t="s">
        <v>1224</v>
      </c>
      <c r="J117" s="11" t="s">
        <v>1225</v>
      </c>
      <c r="K117" s="11" t="s">
        <v>1226</v>
      </c>
      <c r="L117" s="12" t="s">
        <v>106</v>
      </c>
      <c r="M117" s="12" t="s">
        <v>67</v>
      </c>
      <c r="N117" s="11" t="s">
        <v>1921</v>
      </c>
      <c r="O117" s="11" t="s">
        <v>92</v>
      </c>
      <c r="P117" s="11" t="s">
        <v>67</v>
      </c>
      <c r="Q117" s="11" t="s">
        <v>67</v>
      </c>
      <c r="R117" s="11" t="s">
        <v>67</v>
      </c>
      <c r="S117" s="11" t="s">
        <v>1810</v>
      </c>
      <c r="T117" s="11" t="s">
        <v>1922</v>
      </c>
      <c r="U117" s="11" t="s">
        <v>1789</v>
      </c>
      <c r="V117" s="11" t="s">
        <v>1923</v>
      </c>
      <c r="W117" s="23" t="s">
        <v>1924</v>
      </c>
      <c r="X117" s="13" t="s">
        <v>1925</v>
      </c>
    </row>
    <row r="118" spans="1:24" ht="111.75" customHeight="1">
      <c r="A118" s="11" t="s">
        <v>55</v>
      </c>
      <c r="B118" s="11" t="s">
        <v>15</v>
      </c>
      <c r="C118" s="11" t="s">
        <v>1926</v>
      </c>
      <c r="D118" s="11" t="s">
        <v>1927</v>
      </c>
      <c r="E118" s="11" t="s">
        <v>1223</v>
      </c>
      <c r="F118" s="11" t="s">
        <v>59</v>
      </c>
      <c r="G118" s="11" t="s">
        <v>60</v>
      </c>
      <c r="H118" s="11" t="s">
        <v>346</v>
      </c>
      <c r="I118" s="11" t="s">
        <v>1928</v>
      </c>
      <c r="J118" s="11" t="s">
        <v>1929</v>
      </c>
      <c r="K118" s="11" t="s">
        <v>1930</v>
      </c>
      <c r="L118" s="12" t="s">
        <v>23</v>
      </c>
      <c r="M118" s="12" t="s">
        <v>67</v>
      </c>
      <c r="N118" s="11" t="s">
        <v>67</v>
      </c>
      <c r="O118" s="11" t="s">
        <v>92</v>
      </c>
      <c r="P118" s="11">
        <v>10</v>
      </c>
      <c r="Q118" s="11" t="s">
        <v>343</v>
      </c>
      <c r="R118" s="11" t="s">
        <v>67</v>
      </c>
      <c r="S118" s="11" t="s">
        <v>212</v>
      </c>
      <c r="T118" s="11" t="s">
        <v>1931</v>
      </c>
      <c r="U118" s="11" t="s">
        <v>1766</v>
      </c>
      <c r="V118" s="11" t="s">
        <v>1932</v>
      </c>
      <c r="W118" s="23" t="s">
        <v>67</v>
      </c>
      <c r="X118" s="13" t="s">
        <v>67</v>
      </c>
    </row>
    <row r="119" spans="1:24" ht="111.75" customHeight="1">
      <c r="A119" s="11" t="s">
        <v>55</v>
      </c>
      <c r="B119" s="11" t="s">
        <v>15</v>
      </c>
      <c r="C119" s="11" t="s">
        <v>1933</v>
      </c>
      <c r="D119" s="11" t="s">
        <v>1934</v>
      </c>
      <c r="E119" s="11" t="s">
        <v>1223</v>
      </c>
      <c r="F119" s="11" t="s">
        <v>59</v>
      </c>
      <c r="G119" s="11" t="s">
        <v>60</v>
      </c>
      <c r="H119" s="11" t="s">
        <v>234</v>
      </c>
      <c r="I119" s="11" t="s">
        <v>235</v>
      </c>
      <c r="J119" s="11" t="s">
        <v>1935</v>
      </c>
      <c r="K119" s="11" t="s">
        <v>1936</v>
      </c>
      <c r="L119" s="12" t="s">
        <v>106</v>
      </c>
      <c r="M119" s="12" t="s">
        <v>67</v>
      </c>
      <c r="N119" s="11" t="s">
        <v>1937</v>
      </c>
      <c r="O119" s="11" t="s">
        <v>92</v>
      </c>
      <c r="P119" s="11">
        <v>10</v>
      </c>
      <c r="Q119" s="11" t="s">
        <v>343</v>
      </c>
      <c r="R119" s="11" t="s">
        <v>67</v>
      </c>
      <c r="S119" s="11" t="s">
        <v>212</v>
      </c>
      <c r="T119" s="11" t="s">
        <v>1938</v>
      </c>
      <c r="U119" s="11" t="s">
        <v>1766</v>
      </c>
      <c r="V119" s="11" t="s">
        <v>1932</v>
      </c>
      <c r="W119" s="23" t="s">
        <v>67</v>
      </c>
      <c r="X119" s="13" t="s">
        <v>67</v>
      </c>
    </row>
    <row r="120" spans="1:24" ht="90" customHeight="1">
      <c r="A120" s="11" t="s">
        <v>55</v>
      </c>
      <c r="B120" s="11" t="s">
        <v>15</v>
      </c>
      <c r="C120" s="11" t="s">
        <v>1939</v>
      </c>
      <c r="D120" s="11" t="s">
        <v>1940</v>
      </c>
      <c r="E120" s="11" t="s">
        <v>1223</v>
      </c>
      <c r="F120" s="11" t="s">
        <v>996</v>
      </c>
      <c r="G120" s="11" t="s">
        <v>979</v>
      </c>
      <c r="H120" s="11" t="s">
        <v>996</v>
      </c>
      <c r="I120" s="11" t="s">
        <v>1941</v>
      </c>
      <c r="J120" s="11" t="s">
        <v>67</v>
      </c>
      <c r="K120" s="11" t="s">
        <v>1942</v>
      </c>
      <c r="L120" s="12" t="s">
        <v>25</v>
      </c>
      <c r="M120" s="12" t="s">
        <v>67</v>
      </c>
      <c r="N120" s="11" t="s">
        <v>1943</v>
      </c>
      <c r="O120" s="11" t="s">
        <v>92</v>
      </c>
      <c r="P120" s="11" t="s">
        <v>67</v>
      </c>
      <c r="Q120" s="11" t="s">
        <v>67</v>
      </c>
      <c r="R120" s="11" t="s">
        <v>67</v>
      </c>
      <c r="S120" s="11" t="s">
        <v>1787</v>
      </c>
      <c r="T120" s="11" t="s">
        <v>1944</v>
      </c>
      <c r="U120" s="11" t="s">
        <v>1789</v>
      </c>
      <c r="V120" s="11" t="s">
        <v>1945</v>
      </c>
      <c r="W120" s="23" t="s">
        <v>1946</v>
      </c>
      <c r="X120" s="13" t="s">
        <v>1947</v>
      </c>
    </row>
    <row r="121" spans="1:24" ht="48" customHeight="1">
      <c r="A121" s="11" t="s">
        <v>55</v>
      </c>
      <c r="B121" s="11" t="s">
        <v>15</v>
      </c>
      <c r="C121" s="11" t="s">
        <v>1948</v>
      </c>
      <c r="D121" s="11" t="s">
        <v>1949</v>
      </c>
      <c r="E121" s="11" t="s">
        <v>1223</v>
      </c>
      <c r="F121" s="11" t="s">
        <v>978</v>
      </c>
      <c r="G121" s="11" t="s">
        <v>979</v>
      </c>
      <c r="H121" s="11" t="s">
        <v>980</v>
      </c>
      <c r="I121" s="11" t="s">
        <v>1950</v>
      </c>
      <c r="J121" s="11" t="s">
        <v>67</v>
      </c>
      <c r="K121" s="11" t="s">
        <v>1942</v>
      </c>
      <c r="L121" s="12" t="s">
        <v>25</v>
      </c>
      <c r="M121" s="12" t="s">
        <v>67</v>
      </c>
      <c r="N121" s="11" t="s">
        <v>983</v>
      </c>
      <c r="O121" s="11" t="s">
        <v>92</v>
      </c>
      <c r="P121" s="11" t="s">
        <v>67</v>
      </c>
      <c r="Q121" s="11" t="s">
        <v>67</v>
      </c>
      <c r="R121" s="11" t="s">
        <v>67</v>
      </c>
      <c r="S121" s="11" t="s">
        <v>212</v>
      </c>
      <c r="T121" s="11" t="s">
        <v>1951</v>
      </c>
      <c r="U121" s="11" t="s">
        <v>1766</v>
      </c>
      <c r="V121" s="11" t="s">
        <v>1952</v>
      </c>
      <c r="W121" s="23" t="s">
        <v>67</v>
      </c>
      <c r="X121" s="13" t="s">
        <v>67</v>
      </c>
    </row>
    <row r="122" spans="1:24" ht="132" customHeight="1">
      <c r="A122" s="11" t="s">
        <v>55</v>
      </c>
      <c r="B122" s="11" t="s">
        <v>15</v>
      </c>
      <c r="C122" s="11" t="s">
        <v>1953</v>
      </c>
      <c r="D122" s="11" t="s">
        <v>1954</v>
      </c>
      <c r="E122" s="11" t="s">
        <v>1955</v>
      </c>
      <c r="F122" s="11" t="s">
        <v>996</v>
      </c>
      <c r="G122" s="11" t="s">
        <v>60</v>
      </c>
      <c r="H122" s="11" t="s">
        <v>61</v>
      </c>
      <c r="I122" s="11" t="s">
        <v>1956</v>
      </c>
      <c r="J122" s="11" t="s">
        <v>67</v>
      </c>
      <c r="K122" s="11" t="s">
        <v>1957</v>
      </c>
      <c r="L122" s="12" t="s">
        <v>106</v>
      </c>
      <c r="M122" s="12" t="s">
        <v>67</v>
      </c>
      <c r="N122" s="11" t="s">
        <v>1921</v>
      </c>
      <c r="O122" s="11" t="s">
        <v>991</v>
      </c>
      <c r="P122" s="11" t="s">
        <v>1958</v>
      </c>
      <c r="Q122" s="11" t="s">
        <v>1516</v>
      </c>
      <c r="R122" s="11" t="s">
        <v>67</v>
      </c>
      <c r="S122" s="11" t="s">
        <v>1810</v>
      </c>
      <c r="T122" s="11" t="s">
        <v>1959</v>
      </c>
      <c r="U122" s="11" t="s">
        <v>1789</v>
      </c>
      <c r="V122" s="11" t="s">
        <v>1960</v>
      </c>
      <c r="W122" s="23" t="s">
        <v>1961</v>
      </c>
      <c r="X122" s="13" t="s">
        <v>1962</v>
      </c>
    </row>
    <row r="123" spans="1:24" ht="75.95" customHeight="1">
      <c r="A123" s="11" t="s">
        <v>55</v>
      </c>
      <c r="B123" s="11" t="s">
        <v>15</v>
      </c>
      <c r="C123" s="11" t="s">
        <v>1963</v>
      </c>
      <c r="D123" s="11" t="s">
        <v>1964</v>
      </c>
      <c r="E123" s="11" t="s">
        <v>1965</v>
      </c>
      <c r="F123" s="11" t="s">
        <v>978</v>
      </c>
      <c r="G123" s="11" t="s">
        <v>979</v>
      </c>
      <c r="H123" s="11" t="s">
        <v>980</v>
      </c>
      <c r="I123" s="11" t="s">
        <v>1966</v>
      </c>
      <c r="J123" s="11" t="s">
        <v>1967</v>
      </c>
      <c r="K123" s="11" t="s">
        <v>1968</v>
      </c>
      <c r="L123" s="12" t="s">
        <v>23</v>
      </c>
      <c r="M123" s="12" t="s">
        <v>67</v>
      </c>
      <c r="N123" s="11" t="s">
        <v>67</v>
      </c>
      <c r="O123" s="11" t="s">
        <v>991</v>
      </c>
      <c r="P123" s="11" t="s">
        <v>1786</v>
      </c>
      <c r="Q123" s="11" t="s">
        <v>67</v>
      </c>
      <c r="R123" s="11" t="s">
        <v>67</v>
      </c>
      <c r="S123" s="11" t="s">
        <v>1810</v>
      </c>
      <c r="T123" s="11" t="s">
        <v>1969</v>
      </c>
      <c r="U123" s="11" t="s">
        <v>1789</v>
      </c>
      <c r="V123" s="11" t="s">
        <v>1970</v>
      </c>
      <c r="W123" s="23" t="s">
        <v>1971</v>
      </c>
      <c r="X123" s="13" t="s">
        <v>1972</v>
      </c>
    </row>
    <row r="124" spans="1:24" ht="62.1" customHeight="1">
      <c r="A124" s="11" t="s">
        <v>55</v>
      </c>
      <c r="B124" s="11" t="s">
        <v>15</v>
      </c>
      <c r="C124" s="11" t="s">
        <v>1973</v>
      </c>
      <c r="D124" s="11" t="s">
        <v>1974</v>
      </c>
      <c r="E124" s="11" t="s">
        <v>1975</v>
      </c>
      <c r="F124" s="11" t="s">
        <v>978</v>
      </c>
      <c r="G124" s="11" t="s">
        <v>979</v>
      </c>
      <c r="H124" s="11" t="s">
        <v>1976</v>
      </c>
      <c r="I124" s="11" t="s">
        <v>1977</v>
      </c>
      <c r="J124" s="11" t="s">
        <v>67</v>
      </c>
      <c r="K124" s="11" t="s">
        <v>1978</v>
      </c>
      <c r="L124" s="12" t="s">
        <v>25</v>
      </c>
      <c r="M124" s="12" t="s">
        <v>67</v>
      </c>
      <c r="N124" s="11" t="s">
        <v>1979</v>
      </c>
      <c r="O124" s="11" t="s">
        <v>991</v>
      </c>
      <c r="P124" s="11" t="s">
        <v>1786</v>
      </c>
      <c r="Q124" s="11" t="s">
        <v>1739</v>
      </c>
      <c r="R124" s="11" t="s">
        <v>67</v>
      </c>
      <c r="S124" s="11" t="s">
        <v>212</v>
      </c>
      <c r="T124" s="11" t="s">
        <v>1980</v>
      </c>
      <c r="U124" s="11" t="s">
        <v>1766</v>
      </c>
      <c r="V124" s="11" t="s">
        <v>1981</v>
      </c>
      <c r="W124" s="23" t="s">
        <v>67</v>
      </c>
      <c r="X124" s="13" t="s">
        <v>67</v>
      </c>
    </row>
    <row r="125" spans="1:24" ht="90" customHeight="1">
      <c r="A125" s="11" t="s">
        <v>55</v>
      </c>
      <c r="B125" s="11" t="s">
        <v>15</v>
      </c>
      <c r="C125" s="11" t="s">
        <v>1982</v>
      </c>
      <c r="D125" s="11" t="s">
        <v>1983</v>
      </c>
      <c r="E125" s="11" t="s">
        <v>1975</v>
      </c>
      <c r="F125" s="11" t="s">
        <v>978</v>
      </c>
      <c r="G125" s="11" t="s">
        <v>979</v>
      </c>
      <c r="H125" s="11" t="s">
        <v>1976</v>
      </c>
      <c r="I125" s="11" t="s">
        <v>1984</v>
      </c>
      <c r="J125" s="11" t="s">
        <v>67</v>
      </c>
      <c r="K125" s="11" t="s">
        <v>1978</v>
      </c>
      <c r="L125" s="12" t="s">
        <v>25</v>
      </c>
      <c r="M125" s="12" t="s">
        <v>67</v>
      </c>
      <c r="N125" s="11" t="s">
        <v>1979</v>
      </c>
      <c r="O125" s="11" t="s">
        <v>991</v>
      </c>
      <c r="P125" s="11" t="s">
        <v>1786</v>
      </c>
      <c r="Q125" s="11" t="s">
        <v>1739</v>
      </c>
      <c r="R125" s="11" t="s">
        <v>67</v>
      </c>
      <c r="S125" s="11" t="s">
        <v>1810</v>
      </c>
      <c r="T125" s="11" t="s">
        <v>1985</v>
      </c>
      <c r="U125" s="11" t="s">
        <v>1789</v>
      </c>
      <c r="V125" s="11" t="s">
        <v>1986</v>
      </c>
      <c r="W125" s="23" t="s">
        <v>1987</v>
      </c>
      <c r="X125" s="13" t="s">
        <v>1988</v>
      </c>
    </row>
    <row r="126" spans="1:24" ht="62.1" customHeight="1">
      <c r="A126" s="11" t="s">
        <v>55</v>
      </c>
      <c r="B126" s="11" t="s">
        <v>15</v>
      </c>
      <c r="C126" s="11" t="s">
        <v>1989</v>
      </c>
      <c r="D126" s="11" t="s">
        <v>1990</v>
      </c>
      <c r="E126" s="11" t="s">
        <v>1991</v>
      </c>
      <c r="F126" s="11" t="s">
        <v>996</v>
      </c>
      <c r="G126" s="11" t="s">
        <v>979</v>
      </c>
      <c r="H126" s="11" t="s">
        <v>996</v>
      </c>
      <c r="I126" s="11" t="s">
        <v>1992</v>
      </c>
      <c r="J126" s="11" t="s">
        <v>67</v>
      </c>
      <c r="K126" s="11" t="s">
        <v>1993</v>
      </c>
      <c r="L126" s="12" t="s">
        <v>25</v>
      </c>
      <c r="M126" s="12" t="s">
        <v>67</v>
      </c>
      <c r="N126" s="11" t="s">
        <v>1883</v>
      </c>
      <c r="O126" s="11" t="s">
        <v>991</v>
      </c>
      <c r="P126" s="11" t="s">
        <v>67</v>
      </c>
      <c r="Q126" s="11" t="s">
        <v>1677</v>
      </c>
      <c r="R126" s="11" t="s">
        <v>67</v>
      </c>
      <c r="S126" s="11" t="s">
        <v>212</v>
      </c>
      <c r="T126" s="11" t="s">
        <v>1994</v>
      </c>
      <c r="U126" s="11" t="s">
        <v>1766</v>
      </c>
      <c r="V126" s="11" t="s">
        <v>1995</v>
      </c>
      <c r="W126" s="23" t="s">
        <v>67</v>
      </c>
      <c r="X126" s="13" t="s">
        <v>67</v>
      </c>
    </row>
    <row r="127" spans="1:24" ht="90" customHeight="1">
      <c r="A127" s="24" t="s">
        <v>55</v>
      </c>
      <c r="B127" s="24" t="s">
        <v>15</v>
      </c>
      <c r="C127" s="24" t="s">
        <v>1996</v>
      </c>
      <c r="D127" s="24" t="s">
        <v>1997</v>
      </c>
      <c r="E127" s="24" t="s">
        <v>798</v>
      </c>
      <c r="F127" s="24" t="s">
        <v>59</v>
      </c>
      <c r="G127" s="11" t="s">
        <v>60</v>
      </c>
      <c r="H127" s="24" t="s">
        <v>61</v>
      </c>
      <c r="I127" s="24" t="s">
        <v>799</v>
      </c>
      <c r="J127" s="24" t="s">
        <v>800</v>
      </c>
      <c r="K127" s="24" t="s">
        <v>801</v>
      </c>
      <c r="L127" s="12" t="s">
        <v>106</v>
      </c>
      <c r="M127" s="25" t="s">
        <v>67</v>
      </c>
      <c r="N127" s="11" t="s">
        <v>1921</v>
      </c>
      <c r="O127" s="24" t="s">
        <v>68</v>
      </c>
      <c r="P127" s="24" t="s">
        <v>244</v>
      </c>
      <c r="Q127" s="24" t="s">
        <v>67</v>
      </c>
      <c r="R127" s="24" t="s">
        <v>67</v>
      </c>
      <c r="S127" s="24" t="s">
        <v>1810</v>
      </c>
      <c r="T127" s="24" t="s">
        <v>1998</v>
      </c>
      <c r="U127" s="24" t="s">
        <v>1789</v>
      </c>
      <c r="V127" s="24" t="s">
        <v>1999</v>
      </c>
      <c r="W127" s="26" t="s">
        <v>2000</v>
      </c>
      <c r="X127" s="27" t="s">
        <v>2001</v>
      </c>
    </row>
    <row r="128" spans="1:24" ht="62.1" customHeight="1">
      <c r="A128" s="11" t="s">
        <v>55</v>
      </c>
      <c r="B128" s="11" t="s">
        <v>15</v>
      </c>
      <c r="C128" s="11" t="s">
        <v>2002</v>
      </c>
      <c r="D128" s="11" t="s">
        <v>2003</v>
      </c>
      <c r="E128" s="11" t="s">
        <v>798</v>
      </c>
      <c r="F128" s="11" t="s">
        <v>996</v>
      </c>
      <c r="G128" s="11" t="s">
        <v>979</v>
      </c>
      <c r="H128" s="11" t="s">
        <v>996</v>
      </c>
      <c r="I128" s="11" t="s">
        <v>2004</v>
      </c>
      <c r="J128" s="11" t="s">
        <v>67</v>
      </c>
      <c r="K128" s="11" t="s">
        <v>2005</v>
      </c>
      <c r="L128" s="12" t="s">
        <v>25</v>
      </c>
      <c r="M128" s="12" t="s">
        <v>67</v>
      </c>
      <c r="N128" s="11" t="s">
        <v>2006</v>
      </c>
      <c r="O128" s="11" t="s">
        <v>68</v>
      </c>
      <c r="P128" s="11" t="s">
        <v>244</v>
      </c>
      <c r="Q128" s="11" t="s">
        <v>67</v>
      </c>
      <c r="R128" s="11" t="s">
        <v>67</v>
      </c>
      <c r="S128" s="11" t="s">
        <v>1810</v>
      </c>
      <c r="T128" s="11" t="s">
        <v>2007</v>
      </c>
      <c r="U128" s="11" t="s">
        <v>1789</v>
      </c>
      <c r="V128" s="11" t="s">
        <v>2008</v>
      </c>
      <c r="W128" s="23" t="s">
        <v>2009</v>
      </c>
      <c r="X128" s="13" t="s">
        <v>2010</v>
      </c>
    </row>
    <row r="129" spans="1:24" ht="75.95" customHeight="1">
      <c r="A129" s="11" t="s">
        <v>55</v>
      </c>
      <c r="B129" s="11" t="s">
        <v>15</v>
      </c>
      <c r="C129" s="11" t="s">
        <v>2011</v>
      </c>
      <c r="D129" s="11" t="s">
        <v>2012</v>
      </c>
      <c r="E129" s="11" t="s">
        <v>58</v>
      </c>
      <c r="F129" s="11" t="s">
        <v>996</v>
      </c>
      <c r="G129" s="11" t="s">
        <v>979</v>
      </c>
      <c r="H129" s="11" t="s">
        <v>996</v>
      </c>
      <c r="I129" s="11" t="s">
        <v>2013</v>
      </c>
      <c r="J129" s="11" t="s">
        <v>67</v>
      </c>
      <c r="K129" s="11" t="s">
        <v>2014</v>
      </c>
      <c r="L129" s="12" t="s">
        <v>25</v>
      </c>
      <c r="M129" s="12" t="s">
        <v>67</v>
      </c>
      <c r="N129" s="11" t="s">
        <v>2006</v>
      </c>
      <c r="O129" s="11" t="s">
        <v>68</v>
      </c>
      <c r="P129" s="11" t="s">
        <v>69</v>
      </c>
      <c r="Q129" s="11" t="s">
        <v>67</v>
      </c>
      <c r="R129" s="11" t="s">
        <v>67</v>
      </c>
      <c r="S129" s="11" t="s">
        <v>2015</v>
      </c>
      <c r="T129" s="11" t="s">
        <v>2016</v>
      </c>
      <c r="U129" s="11" t="s">
        <v>1789</v>
      </c>
      <c r="V129" s="11" t="s">
        <v>2017</v>
      </c>
      <c r="W129" s="23" t="s">
        <v>2018</v>
      </c>
      <c r="X129" s="13" t="s">
        <v>2019</v>
      </c>
    </row>
    <row r="130" spans="1:24" ht="132" customHeight="1">
      <c r="A130" s="11" t="s">
        <v>55</v>
      </c>
      <c r="B130" s="11" t="s">
        <v>15</v>
      </c>
      <c r="C130" s="11" t="s">
        <v>2020</v>
      </c>
      <c r="D130" s="11" t="s">
        <v>2021</v>
      </c>
      <c r="E130" s="11" t="s">
        <v>1275</v>
      </c>
      <c r="F130" s="11" t="s">
        <v>59</v>
      </c>
      <c r="G130" s="11" t="s">
        <v>979</v>
      </c>
      <c r="H130" s="11" t="s">
        <v>234</v>
      </c>
      <c r="I130" s="11" t="s">
        <v>235</v>
      </c>
      <c r="J130" s="11" t="s">
        <v>1277</v>
      </c>
      <c r="K130" s="11" t="s">
        <v>2022</v>
      </c>
      <c r="L130" s="12" t="s">
        <v>23</v>
      </c>
      <c r="M130" s="12" t="s">
        <v>67</v>
      </c>
      <c r="N130" s="11" t="s">
        <v>67</v>
      </c>
      <c r="O130" s="11" t="s">
        <v>329</v>
      </c>
      <c r="P130" s="11">
        <v>1</v>
      </c>
      <c r="Q130" s="11" t="s">
        <v>67</v>
      </c>
      <c r="R130" s="11" t="s">
        <v>67</v>
      </c>
      <c r="S130" s="11" t="s">
        <v>212</v>
      </c>
      <c r="T130" s="11" t="s">
        <v>2023</v>
      </c>
      <c r="U130" s="11" t="s">
        <v>1766</v>
      </c>
      <c r="V130" s="11" t="s">
        <v>2024</v>
      </c>
      <c r="W130" s="23" t="s">
        <v>67</v>
      </c>
      <c r="X130" s="13" t="s">
        <v>67</v>
      </c>
    </row>
    <row r="131" spans="1:24" ht="104.1" customHeight="1">
      <c r="A131" s="11" t="s">
        <v>55</v>
      </c>
      <c r="B131" s="11" t="s">
        <v>15</v>
      </c>
      <c r="C131" s="11" t="s">
        <v>2025</v>
      </c>
      <c r="D131" s="11" t="s">
        <v>2026</v>
      </c>
      <c r="E131" s="11" t="s">
        <v>1308</v>
      </c>
      <c r="F131" s="11" t="s">
        <v>59</v>
      </c>
      <c r="G131" s="11" t="s">
        <v>979</v>
      </c>
      <c r="H131" s="11" t="s">
        <v>234</v>
      </c>
      <c r="I131" s="11" t="s">
        <v>235</v>
      </c>
      <c r="J131" s="11" t="s">
        <v>1310</v>
      </c>
      <c r="K131" s="11" t="s">
        <v>2027</v>
      </c>
      <c r="L131" s="12" t="s">
        <v>106</v>
      </c>
      <c r="M131" s="12" t="s">
        <v>67</v>
      </c>
      <c r="N131" s="11" t="s">
        <v>2028</v>
      </c>
      <c r="O131" s="11" t="s">
        <v>329</v>
      </c>
      <c r="P131" s="11">
        <v>1</v>
      </c>
      <c r="Q131" s="11" t="s">
        <v>67</v>
      </c>
      <c r="R131" s="11" t="s">
        <v>67</v>
      </c>
      <c r="S131" s="11" t="s">
        <v>212</v>
      </c>
      <c r="T131" s="11" t="s">
        <v>2029</v>
      </c>
      <c r="U131" s="11" t="s">
        <v>1766</v>
      </c>
      <c r="V131" s="11" t="s">
        <v>2030</v>
      </c>
      <c r="W131" s="23" t="s">
        <v>67</v>
      </c>
      <c r="X131" s="13" t="s">
        <v>67</v>
      </c>
    </row>
    <row r="132" spans="1:24" ht="117.95" customHeight="1">
      <c r="A132" s="11" t="s">
        <v>55</v>
      </c>
      <c r="B132" s="11" t="s">
        <v>15</v>
      </c>
      <c r="C132" s="11" t="s">
        <v>2031</v>
      </c>
      <c r="D132" s="11" t="s">
        <v>2032</v>
      </c>
      <c r="E132" s="11" t="s">
        <v>1316</v>
      </c>
      <c r="F132" s="11" t="s">
        <v>59</v>
      </c>
      <c r="G132" s="11" t="s">
        <v>979</v>
      </c>
      <c r="H132" s="11" t="s">
        <v>234</v>
      </c>
      <c r="I132" s="11" t="s">
        <v>235</v>
      </c>
      <c r="J132" s="11" t="s">
        <v>67</v>
      </c>
      <c r="K132" s="11" t="s">
        <v>2033</v>
      </c>
      <c r="L132" s="12" t="s">
        <v>25</v>
      </c>
      <c r="M132" s="12" t="s">
        <v>67</v>
      </c>
      <c r="N132" s="11" t="s">
        <v>237</v>
      </c>
      <c r="O132" s="11" t="s">
        <v>68</v>
      </c>
      <c r="P132" s="11" t="s">
        <v>152</v>
      </c>
      <c r="Q132" s="11" t="s">
        <v>67</v>
      </c>
      <c r="R132" s="11" t="s">
        <v>67</v>
      </c>
      <c r="S132" s="11" t="s">
        <v>212</v>
      </c>
      <c r="T132" s="11" t="s">
        <v>2034</v>
      </c>
      <c r="U132" s="11" t="s">
        <v>1766</v>
      </c>
      <c r="V132" s="11" t="s">
        <v>2035</v>
      </c>
      <c r="W132" s="23" t="s">
        <v>67</v>
      </c>
      <c r="X132" s="13" t="s">
        <v>67</v>
      </c>
    </row>
    <row r="133" spans="1:24" ht="90" customHeight="1">
      <c r="A133" s="11" t="s">
        <v>55</v>
      </c>
      <c r="B133" s="11" t="s">
        <v>15</v>
      </c>
      <c r="C133" s="11" t="s">
        <v>2036</v>
      </c>
      <c r="D133" s="11" t="s">
        <v>2037</v>
      </c>
      <c r="E133" s="11" t="s">
        <v>1329</v>
      </c>
      <c r="F133" s="11" t="s">
        <v>59</v>
      </c>
      <c r="G133" s="11" t="s">
        <v>979</v>
      </c>
      <c r="H133" s="11" t="s">
        <v>1339</v>
      </c>
      <c r="I133" s="11" t="s">
        <v>1340</v>
      </c>
      <c r="J133" s="11" t="s">
        <v>1341</v>
      </c>
      <c r="K133" s="11" t="s">
        <v>1342</v>
      </c>
      <c r="L133" s="12" t="s">
        <v>23</v>
      </c>
      <c r="M133" s="12" t="s">
        <v>67</v>
      </c>
      <c r="N133" s="11" t="s">
        <v>67</v>
      </c>
      <c r="O133" s="11" t="s">
        <v>1333</v>
      </c>
      <c r="P133" s="11" t="s">
        <v>1334</v>
      </c>
      <c r="Q133" s="11" t="s">
        <v>67</v>
      </c>
      <c r="R133" s="11" t="s">
        <v>67</v>
      </c>
      <c r="S133" s="11" t="s">
        <v>1810</v>
      </c>
      <c r="T133" s="11" t="s">
        <v>2038</v>
      </c>
      <c r="U133" s="11" t="s">
        <v>1789</v>
      </c>
      <c r="V133" s="11" t="s">
        <v>2039</v>
      </c>
      <c r="W133" s="23" t="s">
        <v>2040</v>
      </c>
      <c r="X133" s="13" t="s">
        <v>2041</v>
      </c>
    </row>
    <row r="134" spans="1:24" ht="117.95" customHeight="1">
      <c r="A134" s="11" t="s">
        <v>55</v>
      </c>
      <c r="B134" s="11" t="s">
        <v>15</v>
      </c>
      <c r="C134" s="11" t="s">
        <v>2042</v>
      </c>
      <c r="D134" s="11" t="s">
        <v>2043</v>
      </c>
      <c r="E134" s="11" t="s">
        <v>1346</v>
      </c>
      <c r="F134" s="11" t="s">
        <v>59</v>
      </c>
      <c r="G134" s="11" t="s">
        <v>979</v>
      </c>
      <c r="H134" s="11" t="s">
        <v>234</v>
      </c>
      <c r="I134" s="11" t="s">
        <v>235</v>
      </c>
      <c r="J134" s="11" t="s">
        <v>67</v>
      </c>
      <c r="K134" s="11" t="s">
        <v>2044</v>
      </c>
      <c r="L134" s="12" t="s">
        <v>25</v>
      </c>
      <c r="M134" s="12" t="s">
        <v>67</v>
      </c>
      <c r="N134" s="11" t="s">
        <v>237</v>
      </c>
      <c r="O134" s="11" t="s">
        <v>68</v>
      </c>
      <c r="P134" s="11" t="s">
        <v>1146</v>
      </c>
      <c r="Q134" s="11" t="s">
        <v>67</v>
      </c>
      <c r="R134" s="11" t="s">
        <v>67</v>
      </c>
      <c r="S134" s="11" t="s">
        <v>212</v>
      </c>
      <c r="T134" s="11" t="s">
        <v>2045</v>
      </c>
      <c r="U134" s="11" t="s">
        <v>1766</v>
      </c>
      <c r="V134" s="11" t="s">
        <v>2046</v>
      </c>
      <c r="W134" s="23" t="s">
        <v>67</v>
      </c>
      <c r="X134" s="13" t="s">
        <v>67</v>
      </c>
    </row>
    <row r="135" spans="1:24" ht="90" customHeight="1">
      <c r="A135" s="11" t="s">
        <v>55</v>
      </c>
      <c r="B135" s="11" t="s">
        <v>15</v>
      </c>
      <c r="C135" s="11" t="s">
        <v>2047</v>
      </c>
      <c r="D135" s="11" t="s">
        <v>2048</v>
      </c>
      <c r="E135" s="11" t="s">
        <v>2049</v>
      </c>
      <c r="F135" s="11" t="s">
        <v>996</v>
      </c>
      <c r="G135" s="11" t="s">
        <v>979</v>
      </c>
      <c r="H135" s="11" t="s">
        <v>996</v>
      </c>
      <c r="I135" s="11" t="s">
        <v>2050</v>
      </c>
      <c r="J135" s="11" t="s">
        <v>67</v>
      </c>
      <c r="K135" s="11" t="s">
        <v>2051</v>
      </c>
      <c r="L135" s="12" t="s">
        <v>25</v>
      </c>
      <c r="M135" s="12" t="s">
        <v>67</v>
      </c>
      <c r="N135" s="11" t="s">
        <v>1883</v>
      </c>
      <c r="O135" s="11" t="s">
        <v>68</v>
      </c>
      <c r="P135" s="11" t="s">
        <v>1146</v>
      </c>
      <c r="Q135" s="11" t="s">
        <v>67</v>
      </c>
      <c r="R135" s="11" t="s">
        <v>67</v>
      </c>
      <c r="S135" s="11" t="s">
        <v>1873</v>
      </c>
      <c r="T135" s="11" t="s">
        <v>2052</v>
      </c>
      <c r="U135" s="11" t="s">
        <v>1789</v>
      </c>
      <c r="V135" s="11" t="s">
        <v>2053</v>
      </c>
      <c r="W135" s="23" t="s">
        <v>2054</v>
      </c>
      <c r="X135" s="13" t="s">
        <v>2055</v>
      </c>
    </row>
    <row r="136" spans="1:24" ht="90" customHeight="1">
      <c r="A136" s="11" t="s">
        <v>55</v>
      </c>
      <c r="B136" s="11" t="s">
        <v>15</v>
      </c>
      <c r="C136" s="11" t="s">
        <v>2056</v>
      </c>
      <c r="D136" s="11" t="s">
        <v>2057</v>
      </c>
      <c r="E136" s="11" t="s">
        <v>1359</v>
      </c>
      <c r="F136" s="11" t="s">
        <v>59</v>
      </c>
      <c r="G136" s="11" t="s">
        <v>979</v>
      </c>
      <c r="H136" s="11" t="s">
        <v>1339</v>
      </c>
      <c r="I136" s="11" t="s">
        <v>2058</v>
      </c>
      <c r="J136" s="11" t="s">
        <v>67</v>
      </c>
      <c r="K136" s="11" t="s">
        <v>2059</v>
      </c>
      <c r="L136" s="12" t="s">
        <v>25</v>
      </c>
      <c r="M136" s="12" t="s">
        <v>67</v>
      </c>
      <c r="N136" s="11" t="s">
        <v>2006</v>
      </c>
      <c r="O136" s="11" t="s">
        <v>68</v>
      </c>
      <c r="P136" s="11" t="s">
        <v>883</v>
      </c>
      <c r="Q136" s="11" t="s">
        <v>67</v>
      </c>
      <c r="R136" s="11" t="s">
        <v>67</v>
      </c>
      <c r="S136" s="11" t="s">
        <v>1810</v>
      </c>
      <c r="T136" s="11" t="s">
        <v>2060</v>
      </c>
      <c r="U136" s="11" t="s">
        <v>1789</v>
      </c>
      <c r="V136" s="11" t="s">
        <v>2061</v>
      </c>
      <c r="W136" s="23" t="s">
        <v>2062</v>
      </c>
      <c r="X136" s="13" t="s">
        <v>2063</v>
      </c>
    </row>
    <row r="137" spans="1:24" ht="117.95" customHeight="1">
      <c r="A137" s="11" t="s">
        <v>55</v>
      </c>
      <c r="B137" s="11" t="s">
        <v>15</v>
      </c>
      <c r="C137" s="11" t="s">
        <v>2064</v>
      </c>
      <c r="D137" s="11" t="s">
        <v>2065</v>
      </c>
      <c r="E137" s="11" t="s">
        <v>1359</v>
      </c>
      <c r="F137" s="11" t="s">
        <v>59</v>
      </c>
      <c r="G137" s="11" t="s">
        <v>60</v>
      </c>
      <c r="H137" s="11" t="s">
        <v>234</v>
      </c>
      <c r="I137" s="11" t="s">
        <v>235</v>
      </c>
      <c r="J137" s="11" t="s">
        <v>67</v>
      </c>
      <c r="K137" s="11" t="s">
        <v>2059</v>
      </c>
      <c r="L137" s="12" t="s">
        <v>25</v>
      </c>
      <c r="M137" s="12" t="s">
        <v>67</v>
      </c>
      <c r="N137" s="11" t="s">
        <v>237</v>
      </c>
      <c r="O137" s="11" t="s">
        <v>68</v>
      </c>
      <c r="P137" s="11" t="s">
        <v>883</v>
      </c>
      <c r="Q137" s="11" t="s">
        <v>67</v>
      </c>
      <c r="R137" s="11" t="s">
        <v>67</v>
      </c>
      <c r="S137" s="11" t="s">
        <v>212</v>
      </c>
      <c r="T137" s="11" t="s">
        <v>2066</v>
      </c>
      <c r="U137" s="11" t="s">
        <v>1766</v>
      </c>
      <c r="V137" s="11" t="s">
        <v>2067</v>
      </c>
      <c r="W137" s="23" t="s">
        <v>67</v>
      </c>
      <c r="X137" s="13" t="s">
        <v>67</v>
      </c>
    </row>
    <row r="138" spans="1:24" ht="48" customHeight="1">
      <c r="A138" s="11" t="s">
        <v>55</v>
      </c>
      <c r="B138" s="11" t="s">
        <v>15</v>
      </c>
      <c r="C138" s="11" t="s">
        <v>2068</v>
      </c>
      <c r="D138" s="11" t="s">
        <v>2069</v>
      </c>
      <c r="E138" s="11" t="s">
        <v>895</v>
      </c>
      <c r="F138" s="11" t="s">
        <v>59</v>
      </c>
      <c r="G138" s="11" t="s">
        <v>60</v>
      </c>
      <c r="H138" s="11" t="s">
        <v>234</v>
      </c>
      <c r="I138" s="11" t="s">
        <v>905</v>
      </c>
      <c r="J138" s="11" t="s">
        <v>906</v>
      </c>
      <c r="K138" s="11" t="s">
        <v>907</v>
      </c>
      <c r="L138" s="12" t="s">
        <v>23</v>
      </c>
      <c r="M138" s="12" t="s">
        <v>66</v>
      </c>
      <c r="N138" s="11" t="s">
        <v>67</v>
      </c>
      <c r="O138" s="11" t="s">
        <v>68</v>
      </c>
      <c r="P138" s="11">
        <v>2</v>
      </c>
      <c r="Q138" s="11" t="s">
        <v>898</v>
      </c>
      <c r="R138" s="11" t="s">
        <v>67</v>
      </c>
      <c r="S138" s="11" t="s">
        <v>212</v>
      </c>
      <c r="T138" s="11" t="s">
        <v>2070</v>
      </c>
      <c r="U138" s="11" t="s">
        <v>1766</v>
      </c>
      <c r="V138" s="11" t="s">
        <v>2071</v>
      </c>
      <c r="W138" s="23" t="s">
        <v>67</v>
      </c>
      <c r="X138" s="13" t="s">
        <v>67</v>
      </c>
    </row>
    <row r="139" spans="1:24" ht="132" customHeight="1">
      <c r="A139" s="11" t="s">
        <v>55</v>
      </c>
      <c r="B139" s="11" t="s">
        <v>15</v>
      </c>
      <c r="C139" s="11" t="s">
        <v>2072</v>
      </c>
      <c r="D139" s="11" t="s">
        <v>2073</v>
      </c>
      <c r="E139" s="11" t="s">
        <v>1388</v>
      </c>
      <c r="F139" s="11" t="s">
        <v>59</v>
      </c>
      <c r="G139" s="11" t="s">
        <v>60</v>
      </c>
      <c r="H139" s="11" t="s">
        <v>234</v>
      </c>
      <c r="I139" s="11" t="s">
        <v>235</v>
      </c>
      <c r="J139" s="11" t="s">
        <v>1390</v>
      </c>
      <c r="K139" s="11" t="s">
        <v>2074</v>
      </c>
      <c r="L139" s="12" t="s">
        <v>106</v>
      </c>
      <c r="M139" s="12" t="s">
        <v>67</v>
      </c>
      <c r="N139" s="11" t="s">
        <v>2075</v>
      </c>
      <c r="O139" s="11" t="s">
        <v>329</v>
      </c>
      <c r="P139" s="11">
        <v>1</v>
      </c>
      <c r="Q139" s="11" t="s">
        <v>67</v>
      </c>
      <c r="R139" s="11" t="s">
        <v>67</v>
      </c>
      <c r="S139" s="11" t="s">
        <v>212</v>
      </c>
      <c r="T139" s="11" t="s">
        <v>2076</v>
      </c>
      <c r="U139" s="11" t="s">
        <v>1766</v>
      </c>
      <c r="V139" s="11" t="s">
        <v>2077</v>
      </c>
      <c r="W139" s="23" t="s">
        <v>67</v>
      </c>
      <c r="X139" s="13" t="s">
        <v>67</v>
      </c>
    </row>
    <row r="140" spans="1:24" ht="117.95" customHeight="1">
      <c r="A140" s="11" t="s">
        <v>55</v>
      </c>
      <c r="B140" s="11" t="s">
        <v>15</v>
      </c>
      <c r="C140" s="11" t="s">
        <v>2078</v>
      </c>
      <c r="D140" s="11" t="s">
        <v>2079</v>
      </c>
      <c r="E140" s="11" t="s">
        <v>1411</v>
      </c>
      <c r="F140" s="11" t="s">
        <v>59</v>
      </c>
      <c r="G140" s="11" t="s">
        <v>60</v>
      </c>
      <c r="H140" s="11" t="s">
        <v>234</v>
      </c>
      <c r="I140" s="11" t="s">
        <v>235</v>
      </c>
      <c r="J140" s="11" t="s">
        <v>1413</v>
      </c>
      <c r="K140" s="11" t="s">
        <v>2080</v>
      </c>
      <c r="L140" s="12" t="s">
        <v>106</v>
      </c>
      <c r="M140" s="12" t="s">
        <v>67</v>
      </c>
      <c r="N140" s="11" t="s">
        <v>2075</v>
      </c>
      <c r="O140" s="11" t="s">
        <v>329</v>
      </c>
      <c r="P140" s="11">
        <v>1</v>
      </c>
      <c r="Q140" s="11" t="s">
        <v>471</v>
      </c>
      <c r="R140" s="11" t="s">
        <v>67</v>
      </c>
      <c r="S140" s="11" t="s">
        <v>212</v>
      </c>
      <c r="T140" s="11" t="s">
        <v>2070</v>
      </c>
      <c r="U140" s="11" t="s">
        <v>1766</v>
      </c>
      <c r="V140" s="11" t="s">
        <v>2081</v>
      </c>
      <c r="W140" s="23" t="s">
        <v>67</v>
      </c>
      <c r="X140" s="13" t="s">
        <v>67</v>
      </c>
    </row>
    <row r="141" spans="1:24" ht="104.1" customHeight="1">
      <c r="A141" s="11" t="s">
        <v>55</v>
      </c>
      <c r="B141" s="11" t="s">
        <v>15</v>
      </c>
      <c r="C141" s="11" t="s">
        <v>2082</v>
      </c>
      <c r="D141" s="11" t="s">
        <v>2083</v>
      </c>
      <c r="E141" s="11" t="s">
        <v>2084</v>
      </c>
      <c r="F141" s="11" t="s">
        <v>996</v>
      </c>
      <c r="G141" s="11" t="s">
        <v>979</v>
      </c>
      <c r="H141" s="11" t="s">
        <v>996</v>
      </c>
      <c r="I141" s="11" t="s">
        <v>2085</v>
      </c>
      <c r="J141" s="11" t="s">
        <v>2086</v>
      </c>
      <c r="K141" s="11" t="s">
        <v>2087</v>
      </c>
      <c r="L141" s="12" t="s">
        <v>23</v>
      </c>
      <c r="M141" s="12" t="s">
        <v>67</v>
      </c>
      <c r="N141" s="11" t="s">
        <v>67</v>
      </c>
      <c r="O141" s="11" t="s">
        <v>2088</v>
      </c>
      <c r="P141" s="11" t="s">
        <v>67</v>
      </c>
      <c r="Q141" s="11" t="s">
        <v>67</v>
      </c>
      <c r="R141" s="11" t="s">
        <v>67</v>
      </c>
      <c r="S141" s="11" t="s">
        <v>1787</v>
      </c>
      <c r="T141" s="11" t="s">
        <v>2089</v>
      </c>
      <c r="U141" s="11" t="s">
        <v>1789</v>
      </c>
      <c r="V141" s="11" t="s">
        <v>2090</v>
      </c>
      <c r="W141" s="23" t="s">
        <v>2091</v>
      </c>
      <c r="X141" s="13" t="s">
        <v>2092</v>
      </c>
    </row>
    <row r="142" spans="1:24" ht="48" customHeight="1">
      <c r="A142" s="11" t="s">
        <v>55</v>
      </c>
      <c r="B142" s="11" t="s">
        <v>15</v>
      </c>
      <c r="C142" s="11" t="s">
        <v>2093</v>
      </c>
      <c r="D142" s="11" t="s">
        <v>2094</v>
      </c>
      <c r="E142" s="11" t="s">
        <v>1418</v>
      </c>
      <c r="F142" s="11" t="s">
        <v>59</v>
      </c>
      <c r="G142" s="11" t="s">
        <v>60</v>
      </c>
      <c r="H142" s="11" t="s">
        <v>234</v>
      </c>
      <c r="I142" s="11" t="s">
        <v>2095</v>
      </c>
      <c r="J142" s="11" t="s">
        <v>2096</v>
      </c>
      <c r="K142" s="11" t="s">
        <v>2097</v>
      </c>
      <c r="L142" s="12" t="s">
        <v>23</v>
      </c>
      <c r="M142" s="12" t="s">
        <v>67</v>
      </c>
      <c r="N142" s="11" t="s">
        <v>67</v>
      </c>
      <c r="O142" s="11" t="s">
        <v>68</v>
      </c>
      <c r="P142" s="11" t="s">
        <v>1422</v>
      </c>
      <c r="Q142" s="11" t="s">
        <v>2098</v>
      </c>
      <c r="R142" s="11" t="s">
        <v>67</v>
      </c>
      <c r="S142" s="11" t="s">
        <v>212</v>
      </c>
      <c r="T142" s="11" t="s">
        <v>2070</v>
      </c>
      <c r="U142" s="11" t="s">
        <v>1766</v>
      </c>
      <c r="V142" s="11" t="s">
        <v>2099</v>
      </c>
      <c r="W142" s="23" t="s">
        <v>67</v>
      </c>
      <c r="X142" s="13" t="s">
        <v>67</v>
      </c>
    </row>
    <row r="143" spans="1:24" ht="90" customHeight="1">
      <c r="A143" s="11" t="s">
        <v>55</v>
      </c>
      <c r="B143" s="11" t="s">
        <v>15</v>
      </c>
      <c r="C143" s="11" t="s">
        <v>2100</v>
      </c>
      <c r="D143" s="11" t="s">
        <v>2101</v>
      </c>
      <c r="E143" s="11" t="s">
        <v>1418</v>
      </c>
      <c r="F143" s="11" t="s">
        <v>996</v>
      </c>
      <c r="G143" s="11" t="s">
        <v>979</v>
      </c>
      <c r="H143" s="11" t="s">
        <v>996</v>
      </c>
      <c r="I143" s="11" t="s">
        <v>2102</v>
      </c>
      <c r="J143" s="11" t="s">
        <v>67</v>
      </c>
      <c r="K143" s="11" t="s">
        <v>2103</v>
      </c>
      <c r="L143" s="12" t="s">
        <v>25</v>
      </c>
      <c r="M143" s="12" t="s">
        <v>67</v>
      </c>
      <c r="N143" s="11" t="s">
        <v>1809</v>
      </c>
      <c r="O143" s="11" t="s">
        <v>68</v>
      </c>
      <c r="P143" s="11" t="s">
        <v>1422</v>
      </c>
      <c r="Q143" s="11" t="s">
        <v>67</v>
      </c>
      <c r="R143" s="11" t="s">
        <v>67</v>
      </c>
      <c r="S143" s="11" t="s">
        <v>1810</v>
      </c>
      <c r="T143" s="11" t="s">
        <v>2104</v>
      </c>
      <c r="U143" s="11" t="s">
        <v>1789</v>
      </c>
      <c r="V143" s="11" t="s">
        <v>2105</v>
      </c>
      <c r="W143" s="23" t="s">
        <v>2106</v>
      </c>
      <c r="X143" s="13" t="s">
        <v>2107</v>
      </c>
    </row>
    <row r="144" spans="1:24" ht="62.1" customHeight="1">
      <c r="A144" s="11" t="s">
        <v>55</v>
      </c>
      <c r="B144" s="11" t="s">
        <v>15</v>
      </c>
      <c r="C144" s="11" t="s">
        <v>2108</v>
      </c>
      <c r="D144" s="11" t="s">
        <v>2109</v>
      </c>
      <c r="E144" s="11" t="s">
        <v>2110</v>
      </c>
      <c r="F144" s="11" t="s">
        <v>996</v>
      </c>
      <c r="G144" s="11" t="s">
        <v>979</v>
      </c>
      <c r="H144" s="11" t="s">
        <v>996</v>
      </c>
      <c r="I144" s="11" t="s">
        <v>2111</v>
      </c>
      <c r="J144" s="11" t="s">
        <v>67</v>
      </c>
      <c r="K144" s="11" t="s">
        <v>2112</v>
      </c>
      <c r="L144" s="12" t="s">
        <v>25</v>
      </c>
      <c r="M144" s="12" t="s">
        <v>67</v>
      </c>
      <c r="N144" s="11" t="s">
        <v>1809</v>
      </c>
      <c r="O144" s="11" t="s">
        <v>2113</v>
      </c>
      <c r="P144" s="11" t="s">
        <v>1422</v>
      </c>
      <c r="Q144" s="11" t="s">
        <v>67</v>
      </c>
      <c r="R144" s="11" t="s">
        <v>67</v>
      </c>
      <c r="S144" s="11" t="s">
        <v>212</v>
      </c>
      <c r="T144" s="11" t="s">
        <v>67</v>
      </c>
      <c r="U144" s="11" t="s">
        <v>1766</v>
      </c>
      <c r="V144" s="11" t="s">
        <v>2114</v>
      </c>
      <c r="W144" s="23" t="s">
        <v>67</v>
      </c>
      <c r="X144" s="13" t="s">
        <v>67</v>
      </c>
    </row>
    <row r="145" spans="1:24" ht="117.95" customHeight="1">
      <c r="A145" s="11" t="s">
        <v>55</v>
      </c>
      <c r="B145" s="11" t="s">
        <v>15</v>
      </c>
      <c r="C145" s="11" t="s">
        <v>2115</v>
      </c>
      <c r="D145" s="11" t="s">
        <v>2116</v>
      </c>
      <c r="E145" s="11" t="s">
        <v>1432</v>
      </c>
      <c r="F145" s="11" t="s">
        <v>59</v>
      </c>
      <c r="G145" s="11" t="s">
        <v>60</v>
      </c>
      <c r="H145" s="11" t="s">
        <v>234</v>
      </c>
      <c r="I145" s="11" t="s">
        <v>235</v>
      </c>
      <c r="J145" s="11" t="s">
        <v>1434</v>
      </c>
      <c r="K145" s="11" t="s">
        <v>2117</v>
      </c>
      <c r="L145" s="12" t="s">
        <v>106</v>
      </c>
      <c r="M145" s="12" t="s">
        <v>67</v>
      </c>
      <c r="N145" s="11" t="s">
        <v>2118</v>
      </c>
      <c r="O145" s="11" t="s">
        <v>329</v>
      </c>
      <c r="P145" s="11">
        <v>1</v>
      </c>
      <c r="Q145" s="11" t="s">
        <v>471</v>
      </c>
      <c r="R145" s="11" t="s">
        <v>67</v>
      </c>
      <c r="S145" s="11" t="s">
        <v>212</v>
      </c>
      <c r="T145" s="11" t="s">
        <v>2070</v>
      </c>
      <c r="U145" s="11" t="s">
        <v>1766</v>
      </c>
      <c r="V145" s="11" t="s">
        <v>2119</v>
      </c>
      <c r="W145" s="23" t="s">
        <v>67</v>
      </c>
      <c r="X145" s="13" t="s">
        <v>67</v>
      </c>
    </row>
    <row r="146" spans="1:24" ht="146.1" customHeight="1">
      <c r="A146" s="11" t="s">
        <v>55</v>
      </c>
      <c r="B146" s="11" t="s">
        <v>15</v>
      </c>
      <c r="C146" s="11" t="s">
        <v>2120</v>
      </c>
      <c r="D146" s="11" t="s">
        <v>2121</v>
      </c>
      <c r="E146" s="11" t="s">
        <v>1432</v>
      </c>
      <c r="F146" s="11" t="s">
        <v>59</v>
      </c>
      <c r="G146" s="11" t="s">
        <v>979</v>
      </c>
      <c r="H146" s="11" t="s">
        <v>234</v>
      </c>
      <c r="I146" s="11" t="s">
        <v>2122</v>
      </c>
      <c r="J146" s="11"/>
      <c r="K146" s="11" t="s">
        <v>2123</v>
      </c>
      <c r="L146" s="12" t="s">
        <v>25</v>
      </c>
      <c r="M146" s="12" t="s">
        <v>67</v>
      </c>
      <c r="N146" s="11" t="s">
        <v>67</v>
      </c>
      <c r="O146" s="11" t="s">
        <v>329</v>
      </c>
      <c r="P146" s="11" t="s">
        <v>67</v>
      </c>
      <c r="Q146" s="11" t="s">
        <v>67</v>
      </c>
      <c r="R146" s="11" t="s">
        <v>67</v>
      </c>
      <c r="S146" s="11" t="s">
        <v>1873</v>
      </c>
      <c r="T146" s="11" t="s">
        <v>2124</v>
      </c>
      <c r="U146" s="11" t="s">
        <v>1789</v>
      </c>
      <c r="V146" s="11" t="s">
        <v>2125</v>
      </c>
      <c r="W146" s="23" t="s">
        <v>2126</v>
      </c>
      <c r="X146" s="13" t="s">
        <v>2127</v>
      </c>
    </row>
    <row r="147" spans="1:24" ht="117.95" customHeight="1">
      <c r="A147" s="11" t="s">
        <v>55</v>
      </c>
      <c r="B147" s="11" t="s">
        <v>15</v>
      </c>
      <c r="C147" s="11" t="s">
        <v>2128</v>
      </c>
      <c r="D147" s="11" t="s">
        <v>2129</v>
      </c>
      <c r="E147" s="11" t="s">
        <v>1439</v>
      </c>
      <c r="F147" s="11" t="s">
        <v>59</v>
      </c>
      <c r="G147" s="11" t="s">
        <v>979</v>
      </c>
      <c r="H147" s="11" t="s">
        <v>234</v>
      </c>
      <c r="I147" s="11" t="s">
        <v>235</v>
      </c>
      <c r="J147" s="11" t="s">
        <v>1441</v>
      </c>
      <c r="K147" s="11" t="s">
        <v>2130</v>
      </c>
      <c r="L147" s="12" t="s">
        <v>106</v>
      </c>
      <c r="M147" s="12" t="s">
        <v>67</v>
      </c>
      <c r="N147" s="11" t="s">
        <v>2075</v>
      </c>
      <c r="O147" s="11" t="s">
        <v>329</v>
      </c>
      <c r="P147" s="11">
        <v>1</v>
      </c>
      <c r="Q147" s="11" t="s">
        <v>471</v>
      </c>
      <c r="R147" s="11" t="s">
        <v>67</v>
      </c>
      <c r="S147" s="11" t="s">
        <v>212</v>
      </c>
      <c r="T147" s="11" t="s">
        <v>2070</v>
      </c>
      <c r="U147" s="11" t="s">
        <v>1766</v>
      </c>
      <c r="V147" s="11" t="s">
        <v>2131</v>
      </c>
      <c r="W147" s="23" t="s">
        <v>67</v>
      </c>
      <c r="X147" s="13" t="s">
        <v>67</v>
      </c>
    </row>
    <row r="148" spans="1:24" ht="104.1" customHeight="1">
      <c r="A148" s="11" t="s">
        <v>55</v>
      </c>
      <c r="B148" s="11" t="s">
        <v>15</v>
      </c>
      <c r="C148" s="11" t="s">
        <v>2132</v>
      </c>
      <c r="D148" s="11" t="s">
        <v>2133</v>
      </c>
      <c r="E148" s="11" t="s">
        <v>1439</v>
      </c>
      <c r="F148" s="11" t="s">
        <v>59</v>
      </c>
      <c r="G148" s="11" t="s">
        <v>979</v>
      </c>
      <c r="H148" s="11" t="s">
        <v>234</v>
      </c>
      <c r="I148" s="11" t="s">
        <v>2134</v>
      </c>
      <c r="J148" s="11"/>
      <c r="K148" s="11" t="s">
        <v>2135</v>
      </c>
      <c r="L148" s="12" t="s">
        <v>25</v>
      </c>
      <c r="M148" s="12" t="s">
        <v>67</v>
      </c>
      <c r="N148" s="11" t="s">
        <v>67</v>
      </c>
      <c r="O148" s="11" t="s">
        <v>329</v>
      </c>
      <c r="P148" s="11" t="s">
        <v>67</v>
      </c>
      <c r="Q148" s="11" t="s">
        <v>67</v>
      </c>
      <c r="R148" s="11" t="s">
        <v>67</v>
      </c>
      <c r="S148" s="11" t="s">
        <v>1873</v>
      </c>
      <c r="T148" s="11" t="s">
        <v>2136</v>
      </c>
      <c r="U148" s="11" t="s">
        <v>1789</v>
      </c>
      <c r="V148" s="11" t="s">
        <v>2137</v>
      </c>
      <c r="W148" s="23" t="s">
        <v>2138</v>
      </c>
      <c r="X148" s="13" t="s">
        <v>2139</v>
      </c>
    </row>
    <row r="149" spans="1:24" ht="90" customHeight="1">
      <c r="A149" s="11" t="s">
        <v>55</v>
      </c>
      <c r="B149" s="11" t="s">
        <v>15</v>
      </c>
      <c r="C149" s="11" t="s">
        <v>2140</v>
      </c>
      <c r="D149" s="11" t="s">
        <v>2141</v>
      </c>
      <c r="E149" s="11" t="s">
        <v>2142</v>
      </c>
      <c r="F149" s="11" t="s">
        <v>996</v>
      </c>
      <c r="G149" s="11" t="s">
        <v>979</v>
      </c>
      <c r="H149" s="11" t="s">
        <v>996</v>
      </c>
      <c r="I149" s="11" t="s">
        <v>2143</v>
      </c>
      <c r="J149" s="11" t="s">
        <v>2144</v>
      </c>
      <c r="K149" s="11" t="s">
        <v>2145</v>
      </c>
      <c r="L149" s="12" t="s">
        <v>25</v>
      </c>
      <c r="M149" s="12" t="s">
        <v>67</v>
      </c>
      <c r="N149" s="11" t="s">
        <v>67</v>
      </c>
      <c r="O149" s="11" t="s">
        <v>2088</v>
      </c>
      <c r="P149" s="11" t="s">
        <v>67</v>
      </c>
      <c r="Q149" s="11" t="s">
        <v>67</v>
      </c>
      <c r="R149" s="11" t="s">
        <v>67</v>
      </c>
      <c r="S149" s="11" t="s">
        <v>1810</v>
      </c>
      <c r="T149" s="11" t="s">
        <v>2146</v>
      </c>
      <c r="U149" s="11" t="s">
        <v>1789</v>
      </c>
      <c r="V149" s="11" t="s">
        <v>2147</v>
      </c>
      <c r="W149" s="23" t="s">
        <v>2148</v>
      </c>
      <c r="X149" s="13" t="s">
        <v>2149</v>
      </c>
    </row>
    <row r="150" spans="1:24" ht="132" customHeight="1">
      <c r="A150" s="11" t="s">
        <v>55</v>
      </c>
      <c r="B150" s="11" t="s">
        <v>15</v>
      </c>
      <c r="C150" s="11" t="s">
        <v>2150</v>
      </c>
      <c r="D150" s="11" t="s">
        <v>2151</v>
      </c>
      <c r="E150" s="11" t="s">
        <v>1446</v>
      </c>
      <c r="F150" s="11" t="s">
        <v>59</v>
      </c>
      <c r="G150" s="11" t="s">
        <v>60</v>
      </c>
      <c r="H150" s="11" t="s">
        <v>234</v>
      </c>
      <c r="I150" s="11" t="s">
        <v>235</v>
      </c>
      <c r="J150" s="11" t="s">
        <v>67</v>
      </c>
      <c r="K150" s="11" t="s">
        <v>2152</v>
      </c>
      <c r="L150" s="12" t="s">
        <v>25</v>
      </c>
      <c r="M150" s="12" t="s">
        <v>67</v>
      </c>
      <c r="N150" s="11" t="s">
        <v>237</v>
      </c>
      <c r="O150" s="11" t="s">
        <v>68</v>
      </c>
      <c r="P150" s="11" t="s">
        <v>1146</v>
      </c>
      <c r="Q150" s="11" t="s">
        <v>67</v>
      </c>
      <c r="R150" s="11" t="s">
        <v>67</v>
      </c>
      <c r="S150" s="11" t="s">
        <v>212</v>
      </c>
      <c r="T150" s="11" t="s">
        <v>2153</v>
      </c>
      <c r="U150" s="11" t="s">
        <v>1766</v>
      </c>
      <c r="V150" s="11" t="s">
        <v>2154</v>
      </c>
      <c r="W150" s="23" t="s">
        <v>67</v>
      </c>
      <c r="X150" s="13" t="s">
        <v>67</v>
      </c>
    </row>
    <row r="151" spans="1:24" ht="132" customHeight="1">
      <c r="A151" s="11" t="s">
        <v>55</v>
      </c>
      <c r="B151" s="11" t="s">
        <v>15</v>
      </c>
      <c r="C151" s="11" t="s">
        <v>2155</v>
      </c>
      <c r="D151" s="11" t="s">
        <v>2156</v>
      </c>
      <c r="E151" s="11" t="s">
        <v>1459</v>
      </c>
      <c r="F151" s="11" t="s">
        <v>59</v>
      </c>
      <c r="G151" s="11" t="s">
        <v>60</v>
      </c>
      <c r="H151" s="11" t="s">
        <v>234</v>
      </c>
      <c r="I151" s="11" t="s">
        <v>235</v>
      </c>
      <c r="J151" s="11" t="s">
        <v>67</v>
      </c>
      <c r="K151" s="11" t="s">
        <v>2157</v>
      </c>
      <c r="L151" s="12" t="s">
        <v>25</v>
      </c>
      <c r="M151" s="12" t="s">
        <v>67</v>
      </c>
      <c r="N151" s="11" t="s">
        <v>237</v>
      </c>
      <c r="O151" s="11" t="s">
        <v>68</v>
      </c>
      <c r="P151" s="11" t="s">
        <v>1146</v>
      </c>
      <c r="Q151" s="11" t="s">
        <v>67</v>
      </c>
      <c r="R151" s="11" t="s">
        <v>67</v>
      </c>
      <c r="S151" s="11" t="s">
        <v>212</v>
      </c>
      <c r="T151" s="11" t="s">
        <v>2158</v>
      </c>
      <c r="U151" s="11" t="s">
        <v>1766</v>
      </c>
      <c r="V151" s="11" t="s">
        <v>2159</v>
      </c>
      <c r="W151" s="23" t="s">
        <v>67</v>
      </c>
      <c r="X151" s="13" t="s">
        <v>67</v>
      </c>
    </row>
    <row r="152" spans="1:24" ht="75.95" customHeight="1">
      <c r="A152" s="11" t="s">
        <v>55</v>
      </c>
      <c r="B152" s="11" t="s">
        <v>15</v>
      </c>
      <c r="C152" s="11" t="s">
        <v>2160</v>
      </c>
      <c r="D152" s="11" t="s">
        <v>2161</v>
      </c>
      <c r="E152" s="11" t="s">
        <v>1472</v>
      </c>
      <c r="F152" s="11" t="s">
        <v>996</v>
      </c>
      <c r="G152" s="11" t="s">
        <v>979</v>
      </c>
      <c r="H152" s="11" t="s">
        <v>996</v>
      </c>
      <c r="I152" s="11" t="s">
        <v>2162</v>
      </c>
      <c r="J152" s="11" t="s">
        <v>67</v>
      </c>
      <c r="K152" s="11" t="s">
        <v>2163</v>
      </c>
      <c r="L152" s="12" t="s">
        <v>25</v>
      </c>
      <c r="M152" s="12" t="s">
        <v>67</v>
      </c>
      <c r="N152" s="11" t="s">
        <v>1828</v>
      </c>
      <c r="O152" s="11" t="s">
        <v>68</v>
      </c>
      <c r="P152" s="11" t="s">
        <v>1146</v>
      </c>
      <c r="Q152" s="11" t="s">
        <v>67</v>
      </c>
      <c r="R152" s="11" t="s">
        <v>67</v>
      </c>
      <c r="S152" s="11" t="s">
        <v>1787</v>
      </c>
      <c r="T152" s="11" t="s">
        <v>2164</v>
      </c>
      <c r="U152" s="11" t="s">
        <v>1789</v>
      </c>
      <c r="V152" s="11" t="s">
        <v>2165</v>
      </c>
      <c r="W152" s="23" t="s">
        <v>2166</v>
      </c>
      <c r="X152" s="13" t="s">
        <v>2167</v>
      </c>
    </row>
    <row r="153" spans="1:24" ht="90" customHeight="1">
      <c r="A153" s="11" t="s">
        <v>55</v>
      </c>
      <c r="B153" s="11" t="s">
        <v>15</v>
      </c>
      <c r="C153" s="11" t="s">
        <v>2168</v>
      </c>
      <c r="D153" s="11" t="s">
        <v>2169</v>
      </c>
      <c r="E153" s="11" t="s">
        <v>1484</v>
      </c>
      <c r="F153" s="11" t="s">
        <v>59</v>
      </c>
      <c r="G153" s="11" t="s">
        <v>60</v>
      </c>
      <c r="H153" s="11" t="s">
        <v>234</v>
      </c>
      <c r="I153" s="11" t="s">
        <v>235</v>
      </c>
      <c r="J153" s="11" t="s">
        <v>67</v>
      </c>
      <c r="K153" s="11" t="s">
        <v>2170</v>
      </c>
      <c r="L153" s="12" t="s">
        <v>25</v>
      </c>
      <c r="M153" s="12" t="s">
        <v>67</v>
      </c>
      <c r="N153" s="11" t="s">
        <v>237</v>
      </c>
      <c r="O153" s="11" t="s">
        <v>68</v>
      </c>
      <c r="P153" s="11" t="s">
        <v>883</v>
      </c>
      <c r="Q153" s="11" t="s">
        <v>67</v>
      </c>
      <c r="R153" s="11" t="s">
        <v>67</v>
      </c>
      <c r="S153" s="11" t="s">
        <v>212</v>
      </c>
      <c r="T153" s="11" t="s">
        <v>2171</v>
      </c>
      <c r="U153" s="11" t="s">
        <v>1766</v>
      </c>
      <c r="V153" s="11" t="s">
        <v>2172</v>
      </c>
      <c r="W153" s="23" t="s">
        <v>67</v>
      </c>
      <c r="X153" s="13" t="s">
        <v>67</v>
      </c>
    </row>
    <row r="154" spans="1:24" ht="48" customHeight="1">
      <c r="A154" s="11" t="s">
        <v>55</v>
      </c>
      <c r="B154" s="11" t="s">
        <v>15</v>
      </c>
      <c r="C154" s="11" t="s">
        <v>2173</v>
      </c>
      <c r="D154" s="11" t="s">
        <v>2174</v>
      </c>
      <c r="E154" s="11" t="s">
        <v>1497</v>
      </c>
      <c r="F154" s="11" t="s">
        <v>59</v>
      </c>
      <c r="G154" s="11" t="s">
        <v>60</v>
      </c>
      <c r="H154" s="11" t="s">
        <v>234</v>
      </c>
      <c r="I154" s="11" t="s">
        <v>2175</v>
      </c>
      <c r="J154" s="11" t="s">
        <v>2176</v>
      </c>
      <c r="K154" s="11" t="s">
        <v>2177</v>
      </c>
      <c r="L154" s="12" t="s">
        <v>23</v>
      </c>
      <c r="M154" s="12" t="s">
        <v>67</v>
      </c>
      <c r="N154" s="11" t="s">
        <v>67</v>
      </c>
      <c r="O154" s="11" t="s">
        <v>68</v>
      </c>
      <c r="P154" s="11">
        <v>2</v>
      </c>
      <c r="Q154" s="11" t="s">
        <v>1501</v>
      </c>
      <c r="R154" s="11" t="s">
        <v>67</v>
      </c>
      <c r="S154" s="11" t="s">
        <v>212</v>
      </c>
      <c r="T154" s="11" t="s">
        <v>2070</v>
      </c>
      <c r="U154" s="11" t="s">
        <v>1766</v>
      </c>
      <c r="V154" s="11" t="s">
        <v>2178</v>
      </c>
      <c r="W154" s="23" t="s">
        <v>67</v>
      </c>
      <c r="X154" s="13" t="s">
        <v>67</v>
      </c>
    </row>
    <row r="155" spans="1:24" ht="117.95" customHeight="1">
      <c r="A155" s="11" t="s">
        <v>55</v>
      </c>
      <c r="B155" s="11" t="s">
        <v>15</v>
      </c>
      <c r="C155" s="11" t="s">
        <v>2179</v>
      </c>
      <c r="D155" s="11" t="s">
        <v>2180</v>
      </c>
      <c r="E155" s="11" t="s">
        <v>1505</v>
      </c>
      <c r="F155" s="11" t="s">
        <v>59</v>
      </c>
      <c r="G155" s="11" t="s">
        <v>60</v>
      </c>
      <c r="H155" s="11" t="s">
        <v>234</v>
      </c>
      <c r="I155" s="11" t="s">
        <v>235</v>
      </c>
      <c r="J155" s="11" t="s">
        <v>1507</v>
      </c>
      <c r="K155" s="11" t="s">
        <v>2181</v>
      </c>
      <c r="L155" s="12" t="s">
        <v>23</v>
      </c>
      <c r="M155" s="12" t="s">
        <v>67</v>
      </c>
      <c r="N155" s="11" t="s">
        <v>67</v>
      </c>
      <c r="O155" s="11" t="s">
        <v>329</v>
      </c>
      <c r="P155" s="11">
        <v>1</v>
      </c>
      <c r="Q155" s="11" t="s">
        <v>471</v>
      </c>
      <c r="R155" s="11" t="s">
        <v>67</v>
      </c>
      <c r="S155" s="11" t="s">
        <v>212</v>
      </c>
      <c r="T155" s="11" t="s">
        <v>2070</v>
      </c>
      <c r="U155" s="11" t="s">
        <v>1766</v>
      </c>
      <c r="V155" s="11" t="s">
        <v>2182</v>
      </c>
      <c r="W155" s="23" t="s">
        <v>67</v>
      </c>
      <c r="X155" s="13" t="s">
        <v>67</v>
      </c>
    </row>
    <row r="156" spans="1:24" ht="90" customHeight="1">
      <c r="A156" s="11" t="s">
        <v>55</v>
      </c>
      <c r="B156" s="11" t="s">
        <v>15</v>
      </c>
      <c r="C156" s="11" t="s">
        <v>2183</v>
      </c>
      <c r="D156" s="11" t="s">
        <v>2184</v>
      </c>
      <c r="E156" s="11" t="s">
        <v>1505</v>
      </c>
      <c r="F156" s="11" t="s">
        <v>996</v>
      </c>
      <c r="G156" s="11" t="s">
        <v>979</v>
      </c>
      <c r="H156" s="11" t="s">
        <v>996</v>
      </c>
      <c r="I156" s="11" t="s">
        <v>2185</v>
      </c>
      <c r="J156" s="11" t="s">
        <v>67</v>
      </c>
      <c r="K156" s="11" t="s">
        <v>2186</v>
      </c>
      <c r="L156" s="12" t="s">
        <v>25</v>
      </c>
      <c r="M156" s="12" t="s">
        <v>67</v>
      </c>
      <c r="N156" s="11" t="s">
        <v>1883</v>
      </c>
      <c r="O156" s="11" t="s">
        <v>329</v>
      </c>
      <c r="P156" s="11" t="s">
        <v>67</v>
      </c>
      <c r="Q156" s="11" t="s">
        <v>67</v>
      </c>
      <c r="R156" s="11" t="s">
        <v>67</v>
      </c>
      <c r="S156" s="11" t="s">
        <v>1873</v>
      </c>
      <c r="T156" s="11" t="s">
        <v>2187</v>
      </c>
      <c r="U156" s="11" t="s">
        <v>1789</v>
      </c>
      <c r="V156" s="11" t="s">
        <v>2188</v>
      </c>
      <c r="W156" s="23" t="s">
        <v>2189</v>
      </c>
      <c r="X156" s="13" t="s">
        <v>2190</v>
      </c>
    </row>
    <row r="157" spans="1:24" ht="75.95" customHeight="1">
      <c r="A157" s="11" t="s">
        <v>55</v>
      </c>
      <c r="B157" s="11" t="s">
        <v>15</v>
      </c>
      <c r="C157" s="11" t="s">
        <v>2191</v>
      </c>
      <c r="D157" s="11" t="s">
        <v>2192</v>
      </c>
      <c r="E157" s="11" t="s">
        <v>1524</v>
      </c>
      <c r="F157" s="11" t="s">
        <v>59</v>
      </c>
      <c r="G157" s="11" t="s">
        <v>60</v>
      </c>
      <c r="H157" s="11" t="s">
        <v>346</v>
      </c>
      <c r="I157" s="11" t="s">
        <v>2193</v>
      </c>
      <c r="J157" s="11" t="s">
        <v>2194</v>
      </c>
      <c r="K157" s="11" t="s">
        <v>2195</v>
      </c>
      <c r="L157" s="12" t="s">
        <v>23</v>
      </c>
      <c r="M157" s="12" t="s">
        <v>67</v>
      </c>
      <c r="N157" s="11" t="s">
        <v>67</v>
      </c>
      <c r="O157" s="11" t="s">
        <v>92</v>
      </c>
      <c r="P157" s="11">
        <v>10</v>
      </c>
      <c r="Q157" s="11" t="s">
        <v>343</v>
      </c>
      <c r="R157" s="11" t="s">
        <v>67</v>
      </c>
      <c r="S157" s="11" t="s">
        <v>212</v>
      </c>
      <c r="T157" s="11" t="s">
        <v>67</v>
      </c>
      <c r="U157" s="11" t="s">
        <v>1766</v>
      </c>
      <c r="V157" s="11" t="s">
        <v>2196</v>
      </c>
      <c r="W157" s="23" t="s">
        <v>67</v>
      </c>
      <c r="X157" s="13" t="s">
        <v>67</v>
      </c>
    </row>
    <row r="158" spans="1:24" ht="90" customHeight="1">
      <c r="A158" s="11" t="s">
        <v>55</v>
      </c>
      <c r="B158" s="11" t="s">
        <v>15</v>
      </c>
      <c r="C158" s="11" t="s">
        <v>2197</v>
      </c>
      <c r="D158" s="11" t="s">
        <v>2198</v>
      </c>
      <c r="E158" s="11" t="s">
        <v>1524</v>
      </c>
      <c r="F158" s="11" t="s">
        <v>1870</v>
      </c>
      <c r="G158" s="11" t="s">
        <v>979</v>
      </c>
      <c r="H158" s="11" t="s">
        <v>1871</v>
      </c>
      <c r="I158" s="11" t="s">
        <v>2199</v>
      </c>
      <c r="J158" s="11" t="s">
        <v>67</v>
      </c>
      <c r="K158" s="11" t="s">
        <v>2200</v>
      </c>
      <c r="L158" s="12" t="s">
        <v>25</v>
      </c>
      <c r="M158" s="12" t="s">
        <v>67</v>
      </c>
      <c r="N158" s="11" t="s">
        <v>1828</v>
      </c>
      <c r="O158" s="11" t="s">
        <v>92</v>
      </c>
      <c r="P158" s="11" t="s">
        <v>67</v>
      </c>
      <c r="Q158" s="11" t="s">
        <v>67</v>
      </c>
      <c r="R158" s="11" t="s">
        <v>67</v>
      </c>
      <c r="S158" s="11" t="s">
        <v>1787</v>
      </c>
      <c r="T158" s="11" t="s">
        <v>2201</v>
      </c>
      <c r="U158" s="11" t="s">
        <v>1789</v>
      </c>
      <c r="V158" s="11" t="s">
        <v>2202</v>
      </c>
      <c r="W158" s="23" t="s">
        <v>2203</v>
      </c>
      <c r="X158" s="13" t="s">
        <v>2204</v>
      </c>
    </row>
    <row r="159" spans="1:24" ht="48" customHeight="1">
      <c r="A159" s="11" t="s">
        <v>55</v>
      </c>
      <c r="B159" s="11" t="s">
        <v>15</v>
      </c>
      <c r="C159" s="11" t="s">
        <v>2205</v>
      </c>
      <c r="D159" s="11" t="s">
        <v>2206</v>
      </c>
      <c r="E159" s="11" t="s">
        <v>1531</v>
      </c>
      <c r="F159" s="11" t="s">
        <v>59</v>
      </c>
      <c r="G159" s="11" t="s">
        <v>60</v>
      </c>
      <c r="H159" s="11" t="s">
        <v>234</v>
      </c>
      <c r="I159" s="11" t="s">
        <v>2207</v>
      </c>
      <c r="J159" s="11" t="s">
        <v>2208</v>
      </c>
      <c r="K159" s="11" t="s">
        <v>2209</v>
      </c>
      <c r="L159" s="12" t="s">
        <v>23</v>
      </c>
      <c r="M159" s="12" t="s">
        <v>67</v>
      </c>
      <c r="N159" s="11" t="s">
        <v>67</v>
      </c>
      <c r="O159" s="11" t="s">
        <v>68</v>
      </c>
      <c r="P159" s="11" t="s">
        <v>1422</v>
      </c>
      <c r="Q159" s="11" t="s">
        <v>2210</v>
      </c>
      <c r="R159" s="11" t="s">
        <v>67</v>
      </c>
      <c r="S159" s="11" t="s">
        <v>212</v>
      </c>
      <c r="T159" s="11" t="s">
        <v>2070</v>
      </c>
      <c r="U159" s="11" t="s">
        <v>1766</v>
      </c>
      <c r="V159" s="11" t="s">
        <v>2211</v>
      </c>
      <c r="W159" s="23" t="s">
        <v>67</v>
      </c>
      <c r="X159" s="13" t="s">
        <v>67</v>
      </c>
    </row>
    <row r="160" spans="1:24" ht="300" customHeight="1">
      <c r="A160" s="11" t="s">
        <v>55</v>
      </c>
      <c r="B160" s="11" t="s">
        <v>15</v>
      </c>
      <c r="C160" s="11" t="s">
        <v>2212</v>
      </c>
      <c r="D160" s="11" t="s">
        <v>2213</v>
      </c>
      <c r="E160" s="11" t="s">
        <v>1531</v>
      </c>
      <c r="F160" s="11" t="s">
        <v>1870</v>
      </c>
      <c r="G160" s="11" t="s">
        <v>979</v>
      </c>
      <c r="H160" s="11" t="s">
        <v>1871</v>
      </c>
      <c r="I160" s="11" t="s">
        <v>2214</v>
      </c>
      <c r="J160" s="11" t="s">
        <v>67</v>
      </c>
      <c r="K160" s="11" t="s">
        <v>2215</v>
      </c>
      <c r="L160" s="12" t="s">
        <v>25</v>
      </c>
      <c r="M160" s="12" t="s">
        <v>67</v>
      </c>
      <c r="N160" s="11" t="s">
        <v>1828</v>
      </c>
      <c r="O160" s="11" t="s">
        <v>68</v>
      </c>
      <c r="P160" s="11" t="s">
        <v>1422</v>
      </c>
      <c r="Q160" s="11" t="s">
        <v>67</v>
      </c>
      <c r="R160" s="11" t="s">
        <v>67</v>
      </c>
      <c r="S160" s="11" t="s">
        <v>1810</v>
      </c>
      <c r="T160" s="11" t="s">
        <v>2216</v>
      </c>
      <c r="U160" s="11" t="s">
        <v>1789</v>
      </c>
      <c r="V160" s="11" t="s">
        <v>2217</v>
      </c>
      <c r="W160" s="23" t="s">
        <v>2218</v>
      </c>
      <c r="X160" s="13" t="s">
        <v>2219</v>
      </c>
    </row>
    <row r="161" spans="1:24" ht="48" customHeight="1">
      <c r="A161" s="11" t="s">
        <v>55</v>
      </c>
      <c r="B161" s="11" t="s">
        <v>15</v>
      </c>
      <c r="C161" s="11" t="s">
        <v>2220</v>
      </c>
      <c r="D161" s="11" t="s">
        <v>2221</v>
      </c>
      <c r="E161" s="11" t="s">
        <v>1544</v>
      </c>
      <c r="F161" s="11" t="s">
        <v>59</v>
      </c>
      <c r="G161" s="11" t="s">
        <v>60</v>
      </c>
      <c r="H161" s="11" t="s">
        <v>234</v>
      </c>
      <c r="I161" s="11" t="s">
        <v>2222</v>
      </c>
      <c r="J161" s="11" t="s">
        <v>2223</v>
      </c>
      <c r="K161" s="11" t="s">
        <v>2224</v>
      </c>
      <c r="L161" s="12" t="s">
        <v>23</v>
      </c>
      <c r="M161" s="12" t="s">
        <v>67</v>
      </c>
      <c r="N161" s="11" t="s">
        <v>67</v>
      </c>
      <c r="O161" s="11" t="s">
        <v>68</v>
      </c>
      <c r="P161" s="11" t="s">
        <v>1422</v>
      </c>
      <c r="Q161" s="11" t="s">
        <v>2225</v>
      </c>
      <c r="R161" s="11" t="s">
        <v>67</v>
      </c>
      <c r="S161" s="11" t="s">
        <v>212</v>
      </c>
      <c r="T161" s="11" t="s">
        <v>2070</v>
      </c>
      <c r="U161" s="11" t="s">
        <v>1766</v>
      </c>
      <c r="V161" s="11" t="s">
        <v>2226</v>
      </c>
      <c r="W161" s="23" t="s">
        <v>67</v>
      </c>
      <c r="X161" s="13" t="s">
        <v>67</v>
      </c>
    </row>
    <row r="162" spans="1:24" ht="104.1" customHeight="1">
      <c r="A162" s="11" t="s">
        <v>55</v>
      </c>
      <c r="B162" s="11" t="s">
        <v>15</v>
      </c>
      <c r="C162" s="11" t="s">
        <v>2227</v>
      </c>
      <c r="D162" s="11" t="s">
        <v>2228</v>
      </c>
      <c r="E162" s="11" t="s">
        <v>1544</v>
      </c>
      <c r="F162" s="11" t="s">
        <v>59</v>
      </c>
      <c r="G162" s="11" t="s">
        <v>60</v>
      </c>
      <c r="H162" s="11" t="s">
        <v>234</v>
      </c>
      <c r="I162" s="11" t="s">
        <v>2229</v>
      </c>
      <c r="J162" s="11" t="s">
        <v>2223</v>
      </c>
      <c r="K162" s="11" t="s">
        <v>2230</v>
      </c>
      <c r="L162" s="12" t="s">
        <v>23</v>
      </c>
      <c r="M162" s="12" t="s">
        <v>67</v>
      </c>
      <c r="N162" s="11" t="s">
        <v>67</v>
      </c>
      <c r="O162" s="11" t="s">
        <v>68</v>
      </c>
      <c r="P162" s="11" t="s">
        <v>1422</v>
      </c>
      <c r="Q162" s="11" t="s">
        <v>67</v>
      </c>
      <c r="R162" s="11" t="s">
        <v>67</v>
      </c>
      <c r="S162" s="11" t="s">
        <v>1810</v>
      </c>
      <c r="T162" s="11" t="s">
        <v>2231</v>
      </c>
      <c r="U162" s="11" t="s">
        <v>1789</v>
      </c>
      <c r="V162" s="11" t="s">
        <v>2232</v>
      </c>
      <c r="W162" s="23" t="s">
        <v>2233</v>
      </c>
      <c r="X162" s="13" t="s">
        <v>2234</v>
      </c>
    </row>
    <row r="163" spans="1:24" ht="90" customHeight="1">
      <c r="A163" s="11" t="s">
        <v>55</v>
      </c>
      <c r="B163" s="11" t="s">
        <v>15</v>
      </c>
      <c r="C163" s="11" t="s">
        <v>2235</v>
      </c>
      <c r="D163" s="11" t="s">
        <v>2236</v>
      </c>
      <c r="E163" s="11" t="s">
        <v>2237</v>
      </c>
      <c r="F163" s="11" t="s">
        <v>1771</v>
      </c>
      <c r="G163" s="11" t="s">
        <v>979</v>
      </c>
      <c r="H163" s="11" t="s">
        <v>1772</v>
      </c>
      <c r="I163" s="11" t="s">
        <v>2238</v>
      </c>
      <c r="J163" s="11" t="s">
        <v>67</v>
      </c>
      <c r="K163" s="11" t="s">
        <v>2239</v>
      </c>
      <c r="L163" s="12" t="s">
        <v>25</v>
      </c>
      <c r="M163" s="12" t="s">
        <v>67</v>
      </c>
      <c r="N163" s="11" t="s">
        <v>1775</v>
      </c>
      <c r="O163" s="11" t="s">
        <v>68</v>
      </c>
      <c r="P163" s="11" t="s">
        <v>2240</v>
      </c>
      <c r="Q163" s="11" t="s">
        <v>67</v>
      </c>
      <c r="R163" s="11" t="s">
        <v>67</v>
      </c>
      <c r="S163" s="11" t="s">
        <v>1873</v>
      </c>
      <c r="T163" s="11" t="s">
        <v>2241</v>
      </c>
      <c r="U163" s="11" t="s">
        <v>1789</v>
      </c>
      <c r="V163" s="11" t="s">
        <v>2242</v>
      </c>
      <c r="W163" s="23" t="s">
        <v>2243</v>
      </c>
      <c r="X163" s="13" t="s">
        <v>2244</v>
      </c>
    </row>
    <row r="164" spans="1:24" ht="104.1" customHeight="1">
      <c r="A164" s="11" t="s">
        <v>55</v>
      </c>
      <c r="B164" s="11" t="s">
        <v>15</v>
      </c>
      <c r="C164" s="11" t="s">
        <v>2245</v>
      </c>
      <c r="D164" s="11" t="s">
        <v>2246</v>
      </c>
      <c r="E164" s="11" t="s">
        <v>1557</v>
      </c>
      <c r="F164" s="11" t="s">
        <v>59</v>
      </c>
      <c r="G164" s="11" t="s">
        <v>60</v>
      </c>
      <c r="H164" s="11" t="s">
        <v>234</v>
      </c>
      <c r="I164" s="11" t="s">
        <v>235</v>
      </c>
      <c r="J164" s="11" t="s">
        <v>67</v>
      </c>
      <c r="K164" s="11" t="s">
        <v>2247</v>
      </c>
      <c r="L164" s="12" t="s">
        <v>106</v>
      </c>
      <c r="M164" s="12" t="s">
        <v>67</v>
      </c>
      <c r="N164" s="11" t="s">
        <v>237</v>
      </c>
      <c r="O164" s="11" t="s">
        <v>68</v>
      </c>
      <c r="P164" s="11" t="s">
        <v>167</v>
      </c>
      <c r="Q164" s="11" t="s">
        <v>1561</v>
      </c>
      <c r="R164" s="11" t="s">
        <v>67</v>
      </c>
      <c r="S164" s="11" t="s">
        <v>212</v>
      </c>
      <c r="T164" s="11" t="s">
        <v>2070</v>
      </c>
      <c r="U164" s="11" t="s">
        <v>1766</v>
      </c>
      <c r="V164" s="11" t="s">
        <v>2248</v>
      </c>
      <c r="W164" s="23" t="s">
        <v>67</v>
      </c>
      <c r="X164" s="13" t="s">
        <v>67</v>
      </c>
    </row>
    <row r="165" spans="1:24" ht="258" customHeight="1">
      <c r="A165" s="11" t="s">
        <v>55</v>
      </c>
      <c r="B165" s="11" t="s">
        <v>15</v>
      </c>
      <c r="C165" s="11" t="s">
        <v>2249</v>
      </c>
      <c r="D165" s="11" t="s">
        <v>2250</v>
      </c>
      <c r="E165" s="11" t="s">
        <v>1570</v>
      </c>
      <c r="F165" s="11" t="s">
        <v>59</v>
      </c>
      <c r="G165" s="11" t="s">
        <v>60</v>
      </c>
      <c r="H165" s="11" t="s">
        <v>207</v>
      </c>
      <c r="I165" s="11" t="s">
        <v>2251</v>
      </c>
      <c r="J165" s="11" t="s">
        <v>2252</v>
      </c>
      <c r="K165" s="11" t="s">
        <v>2253</v>
      </c>
      <c r="L165" s="12" t="s">
        <v>23</v>
      </c>
      <c r="M165" s="12" t="s">
        <v>673</v>
      </c>
      <c r="N165" s="11" t="s">
        <v>67</v>
      </c>
      <c r="O165" s="11" t="s">
        <v>68</v>
      </c>
      <c r="P165" s="11">
        <v>3</v>
      </c>
      <c r="Q165" s="11" t="s">
        <v>1574</v>
      </c>
      <c r="R165" s="11" t="s">
        <v>67</v>
      </c>
      <c r="S165" s="11" t="s">
        <v>212</v>
      </c>
      <c r="T165" s="11" t="s">
        <v>2254</v>
      </c>
      <c r="U165" s="11" t="s">
        <v>1766</v>
      </c>
      <c r="V165" s="11" t="s">
        <v>2255</v>
      </c>
      <c r="W165" s="23" t="s">
        <v>67</v>
      </c>
      <c r="X165" s="13" t="s">
        <v>67</v>
      </c>
    </row>
    <row r="166" spans="1:24" ht="117.95" customHeight="1">
      <c r="A166" s="11" t="s">
        <v>55</v>
      </c>
      <c r="B166" s="11" t="s">
        <v>15</v>
      </c>
      <c r="C166" s="11" t="s">
        <v>2256</v>
      </c>
      <c r="D166" s="11" t="s">
        <v>2257</v>
      </c>
      <c r="E166" s="11" t="s">
        <v>1579</v>
      </c>
      <c r="F166" s="11" t="s">
        <v>59</v>
      </c>
      <c r="G166" s="11" t="s">
        <v>979</v>
      </c>
      <c r="H166" s="11" t="s">
        <v>234</v>
      </c>
      <c r="I166" s="11" t="s">
        <v>235</v>
      </c>
      <c r="J166" s="11" t="s">
        <v>1581</v>
      </c>
      <c r="K166" s="11" t="s">
        <v>2258</v>
      </c>
      <c r="L166" s="12" t="s">
        <v>106</v>
      </c>
      <c r="M166" s="12" t="s">
        <v>67</v>
      </c>
      <c r="N166" s="11" t="s">
        <v>2259</v>
      </c>
      <c r="O166" s="11" t="s">
        <v>329</v>
      </c>
      <c r="P166" s="11">
        <v>1</v>
      </c>
      <c r="Q166" s="11" t="s">
        <v>471</v>
      </c>
      <c r="R166" s="11" t="s">
        <v>67</v>
      </c>
      <c r="S166" s="11" t="s">
        <v>212</v>
      </c>
      <c r="T166" s="11" t="s">
        <v>2070</v>
      </c>
      <c r="U166" s="11" t="s">
        <v>1766</v>
      </c>
      <c r="V166" s="11" t="s">
        <v>2260</v>
      </c>
      <c r="W166" s="23" t="s">
        <v>67</v>
      </c>
      <c r="X166" s="13" t="s">
        <v>67</v>
      </c>
    </row>
    <row r="167" spans="1:24" ht="117.95" customHeight="1">
      <c r="A167" s="11" t="s">
        <v>55</v>
      </c>
      <c r="B167" s="11" t="s">
        <v>15</v>
      </c>
      <c r="C167" s="11" t="s">
        <v>2261</v>
      </c>
      <c r="D167" s="11" t="s">
        <v>2262</v>
      </c>
      <c r="E167" s="11" t="s">
        <v>1579</v>
      </c>
      <c r="F167" s="11" t="s">
        <v>996</v>
      </c>
      <c r="G167" s="11" t="s">
        <v>979</v>
      </c>
      <c r="H167" s="11" t="s">
        <v>996</v>
      </c>
      <c r="I167" s="11" t="s">
        <v>2263</v>
      </c>
      <c r="J167" s="11" t="s">
        <v>67</v>
      </c>
      <c r="K167" s="11" t="s">
        <v>2264</v>
      </c>
      <c r="L167" s="12" t="s">
        <v>25</v>
      </c>
      <c r="M167" s="12" t="s">
        <v>67</v>
      </c>
      <c r="N167" s="11" t="s">
        <v>1943</v>
      </c>
      <c r="O167" s="11" t="s">
        <v>329</v>
      </c>
      <c r="P167" s="11" t="s">
        <v>67</v>
      </c>
      <c r="Q167" s="11" t="s">
        <v>67</v>
      </c>
      <c r="R167" s="11" t="s">
        <v>67</v>
      </c>
      <c r="S167" s="11" t="s">
        <v>1873</v>
      </c>
      <c r="T167" s="11" t="s">
        <v>2265</v>
      </c>
      <c r="U167" s="11" t="s">
        <v>1789</v>
      </c>
      <c r="V167" s="11" t="s">
        <v>2266</v>
      </c>
      <c r="W167" s="23" t="s">
        <v>2267</v>
      </c>
      <c r="X167" s="13" t="s">
        <v>2268</v>
      </c>
    </row>
    <row r="168" spans="1:24" ht="62.1" customHeight="1">
      <c r="A168" s="11" t="s">
        <v>55</v>
      </c>
      <c r="B168" s="11" t="s">
        <v>15</v>
      </c>
      <c r="C168" s="11" t="s">
        <v>2269</v>
      </c>
      <c r="D168" s="11" t="s">
        <v>2270</v>
      </c>
      <c r="E168" s="11" t="s">
        <v>1599</v>
      </c>
      <c r="F168" s="11" t="s">
        <v>59</v>
      </c>
      <c r="G168" s="11" t="s">
        <v>979</v>
      </c>
      <c r="H168" s="11" t="s">
        <v>346</v>
      </c>
      <c r="I168" s="11" t="s">
        <v>2271</v>
      </c>
      <c r="J168" s="11" t="s">
        <v>2272</v>
      </c>
      <c r="K168" s="11" t="s">
        <v>2273</v>
      </c>
      <c r="L168" s="12" t="s">
        <v>23</v>
      </c>
      <c r="M168" s="12" t="s">
        <v>673</v>
      </c>
      <c r="N168" s="11" t="s">
        <v>67</v>
      </c>
      <c r="O168" s="11" t="s">
        <v>92</v>
      </c>
      <c r="P168" s="11">
        <v>10</v>
      </c>
      <c r="Q168" s="11" t="s">
        <v>343</v>
      </c>
      <c r="R168" s="11" t="s">
        <v>67</v>
      </c>
      <c r="S168" s="11" t="s">
        <v>212</v>
      </c>
      <c r="T168" s="11" t="s">
        <v>67</v>
      </c>
      <c r="U168" s="11" t="s">
        <v>1766</v>
      </c>
      <c r="V168" s="11" t="s">
        <v>2274</v>
      </c>
      <c r="W168" s="23" t="s">
        <v>67</v>
      </c>
      <c r="X168" s="13" t="s">
        <v>67</v>
      </c>
    </row>
    <row r="169" spans="1:24" ht="90" customHeight="1">
      <c r="A169" s="11" t="s">
        <v>55</v>
      </c>
      <c r="B169" s="11" t="s">
        <v>15</v>
      </c>
      <c r="C169" s="11" t="s">
        <v>2275</v>
      </c>
      <c r="D169" s="11" t="s">
        <v>2276</v>
      </c>
      <c r="E169" s="11" t="s">
        <v>1599</v>
      </c>
      <c r="F169" s="11" t="s">
        <v>996</v>
      </c>
      <c r="G169" s="11" t="s">
        <v>979</v>
      </c>
      <c r="H169" s="11" t="s">
        <v>996</v>
      </c>
      <c r="I169" s="11" t="s">
        <v>2277</v>
      </c>
      <c r="J169" s="11" t="s">
        <v>67</v>
      </c>
      <c r="K169" s="11" t="s">
        <v>2278</v>
      </c>
      <c r="L169" s="12" t="s">
        <v>25</v>
      </c>
      <c r="M169" s="12" t="s">
        <v>67</v>
      </c>
      <c r="N169" s="11" t="s">
        <v>1883</v>
      </c>
      <c r="O169" s="11" t="s">
        <v>92</v>
      </c>
      <c r="P169" s="11" t="s">
        <v>67</v>
      </c>
      <c r="Q169" s="11" t="s">
        <v>67</v>
      </c>
      <c r="R169" s="11" t="s">
        <v>67</v>
      </c>
      <c r="S169" s="11" t="s">
        <v>2015</v>
      </c>
      <c r="T169" s="11" t="s">
        <v>2279</v>
      </c>
      <c r="U169" s="11" t="s">
        <v>1789</v>
      </c>
      <c r="V169" s="11" t="s">
        <v>2280</v>
      </c>
      <c r="W169" s="23" t="s">
        <v>2281</v>
      </c>
      <c r="X169" s="13" t="s">
        <v>2282</v>
      </c>
    </row>
    <row r="170" spans="1:24" ht="90" customHeight="1">
      <c r="A170" s="11" t="s">
        <v>55</v>
      </c>
      <c r="B170" s="11" t="s">
        <v>15</v>
      </c>
      <c r="C170" s="11" t="s">
        <v>2283</v>
      </c>
      <c r="D170" s="11" t="s">
        <v>2284</v>
      </c>
      <c r="E170" s="11" t="s">
        <v>1606</v>
      </c>
      <c r="F170" s="11" t="s">
        <v>59</v>
      </c>
      <c r="G170" s="11" t="s">
        <v>979</v>
      </c>
      <c r="H170" s="11" t="s">
        <v>234</v>
      </c>
      <c r="I170" s="11" t="s">
        <v>235</v>
      </c>
      <c r="J170" s="11" t="s">
        <v>67</v>
      </c>
      <c r="K170" s="11" t="s">
        <v>2285</v>
      </c>
      <c r="L170" s="12" t="s">
        <v>106</v>
      </c>
      <c r="M170" s="12" t="s">
        <v>67</v>
      </c>
      <c r="N170" s="11" t="s">
        <v>237</v>
      </c>
      <c r="O170" s="11" t="s">
        <v>68</v>
      </c>
      <c r="P170" s="11" t="s">
        <v>1610</v>
      </c>
      <c r="Q170" s="11" t="s">
        <v>1611</v>
      </c>
      <c r="R170" s="11" t="s">
        <v>67</v>
      </c>
      <c r="S170" s="11" t="s">
        <v>212</v>
      </c>
      <c r="T170" s="11" t="s">
        <v>2070</v>
      </c>
      <c r="U170" s="11" t="s">
        <v>1766</v>
      </c>
      <c r="V170" s="11" t="s">
        <v>2286</v>
      </c>
      <c r="W170" s="23" t="s">
        <v>67</v>
      </c>
      <c r="X170" s="13" t="s">
        <v>67</v>
      </c>
    </row>
    <row r="171" spans="1:24" ht="188.1" customHeight="1">
      <c r="A171" s="11" t="s">
        <v>55</v>
      </c>
      <c r="B171" s="11" t="s">
        <v>15</v>
      </c>
      <c r="C171" s="11" t="s">
        <v>2287</v>
      </c>
      <c r="D171" s="11" t="s">
        <v>2288</v>
      </c>
      <c r="E171" s="11" t="s">
        <v>1606</v>
      </c>
      <c r="F171" s="11" t="s">
        <v>59</v>
      </c>
      <c r="G171" s="11" t="s">
        <v>979</v>
      </c>
      <c r="H171" s="11" t="s">
        <v>234</v>
      </c>
      <c r="I171" s="11" t="s">
        <v>2289</v>
      </c>
      <c r="J171" s="11" t="s">
        <v>67</v>
      </c>
      <c r="K171" s="11" t="s">
        <v>2290</v>
      </c>
      <c r="L171" s="12" t="s">
        <v>25</v>
      </c>
      <c r="M171" s="12" t="s">
        <v>67</v>
      </c>
      <c r="N171" s="11" t="s">
        <v>237</v>
      </c>
      <c r="O171" s="11" t="s">
        <v>68</v>
      </c>
      <c r="P171" s="11" t="s">
        <v>1610</v>
      </c>
      <c r="Q171" s="11" t="s">
        <v>67</v>
      </c>
      <c r="R171" s="11" t="s">
        <v>67</v>
      </c>
      <c r="S171" s="11" t="s">
        <v>1873</v>
      </c>
      <c r="T171" s="11" t="s">
        <v>2291</v>
      </c>
      <c r="U171" s="11" t="s">
        <v>1789</v>
      </c>
      <c r="V171" s="11" t="s">
        <v>2292</v>
      </c>
      <c r="W171" s="23" t="s">
        <v>2293</v>
      </c>
      <c r="X171" s="13" t="s">
        <v>2294</v>
      </c>
    </row>
    <row r="172" spans="1:24" ht="132" customHeight="1">
      <c r="A172" s="11" t="s">
        <v>55</v>
      </c>
      <c r="B172" s="11" t="s">
        <v>15</v>
      </c>
      <c r="C172" s="11" t="s">
        <v>2295</v>
      </c>
      <c r="D172" s="11" t="s">
        <v>2296</v>
      </c>
      <c r="E172" s="11" t="s">
        <v>1620</v>
      </c>
      <c r="F172" s="11" t="s">
        <v>59</v>
      </c>
      <c r="G172" s="11" t="s">
        <v>979</v>
      </c>
      <c r="H172" s="11" t="s">
        <v>234</v>
      </c>
      <c r="I172" s="11" t="s">
        <v>235</v>
      </c>
      <c r="J172" s="11" t="s">
        <v>67</v>
      </c>
      <c r="K172" s="11" t="s">
        <v>2297</v>
      </c>
      <c r="L172" s="12" t="s">
        <v>106</v>
      </c>
      <c r="M172" s="12" t="s">
        <v>67</v>
      </c>
      <c r="N172" s="11" t="s">
        <v>237</v>
      </c>
      <c r="O172" s="11" t="s">
        <v>68</v>
      </c>
      <c r="P172" s="11" t="s">
        <v>1146</v>
      </c>
      <c r="Q172" s="11" t="s">
        <v>67</v>
      </c>
      <c r="R172" s="11" t="s">
        <v>67</v>
      </c>
      <c r="S172" s="11" t="s">
        <v>212</v>
      </c>
      <c r="T172" s="11" t="s">
        <v>2298</v>
      </c>
      <c r="U172" s="11" t="s">
        <v>1766</v>
      </c>
      <c r="V172" s="11" t="s">
        <v>2299</v>
      </c>
      <c r="W172" s="23" t="s">
        <v>67</v>
      </c>
      <c r="X172" s="13" t="s">
        <v>67</v>
      </c>
    </row>
    <row r="173" spans="1:24" ht="48" customHeight="1">
      <c r="A173" s="11" t="s">
        <v>55</v>
      </c>
      <c r="B173" s="11" t="s">
        <v>15</v>
      </c>
      <c r="C173" s="11" t="s">
        <v>2300</v>
      </c>
      <c r="D173" s="11" t="s">
        <v>2301</v>
      </c>
      <c r="E173" s="11" t="s">
        <v>813</v>
      </c>
      <c r="F173" s="11" t="s">
        <v>996</v>
      </c>
      <c r="G173" s="11" t="s">
        <v>979</v>
      </c>
      <c r="H173" s="11" t="s">
        <v>996</v>
      </c>
      <c r="I173" s="11" t="s">
        <v>2302</v>
      </c>
      <c r="J173" s="11" t="s">
        <v>67</v>
      </c>
      <c r="K173" s="11" t="s">
        <v>2303</v>
      </c>
      <c r="L173" s="12" t="s">
        <v>25</v>
      </c>
      <c r="M173" s="12" t="s">
        <v>67</v>
      </c>
      <c r="N173" s="11" t="s">
        <v>1883</v>
      </c>
      <c r="O173" s="11" t="s">
        <v>68</v>
      </c>
      <c r="P173" s="11" t="s">
        <v>816</v>
      </c>
      <c r="Q173" s="11" t="s">
        <v>67</v>
      </c>
      <c r="R173" s="11" t="s">
        <v>67</v>
      </c>
      <c r="S173" s="11" t="s">
        <v>212</v>
      </c>
      <c r="T173" s="11" t="s">
        <v>15</v>
      </c>
      <c r="U173" s="11" t="s">
        <v>1766</v>
      </c>
      <c r="V173" s="11" t="s">
        <v>2304</v>
      </c>
      <c r="W173" s="23" t="s">
        <v>67</v>
      </c>
      <c r="X173" s="13" t="s">
        <v>67</v>
      </c>
    </row>
    <row r="174" spans="1:24" ht="48" customHeight="1">
      <c r="A174" s="11" t="s">
        <v>55</v>
      </c>
      <c r="B174" s="11" t="s">
        <v>15</v>
      </c>
      <c r="C174" s="11" t="s">
        <v>2300</v>
      </c>
      <c r="D174" s="11" t="s">
        <v>2305</v>
      </c>
      <c r="E174" s="11" t="s">
        <v>813</v>
      </c>
      <c r="F174" s="11" t="s">
        <v>59</v>
      </c>
      <c r="G174" s="11" t="s">
        <v>60</v>
      </c>
      <c r="H174" s="11" t="s">
        <v>200</v>
      </c>
      <c r="I174" s="11" t="s">
        <v>2306</v>
      </c>
      <c r="J174" s="11" t="s">
        <v>2307</v>
      </c>
      <c r="K174" s="11" t="s">
        <v>2303</v>
      </c>
      <c r="L174" s="12" t="s">
        <v>23</v>
      </c>
      <c r="M174" s="12" t="s">
        <v>673</v>
      </c>
      <c r="N174" s="11" t="s">
        <v>1883</v>
      </c>
      <c r="O174" s="11" t="s">
        <v>68</v>
      </c>
      <c r="P174" s="11" t="s">
        <v>816</v>
      </c>
      <c r="Q174" s="11" t="s">
        <v>67</v>
      </c>
      <c r="R174" s="11" t="s">
        <v>67</v>
      </c>
      <c r="S174" s="11" t="s">
        <v>212</v>
      </c>
      <c r="T174" s="11" t="s">
        <v>15</v>
      </c>
      <c r="U174" s="11" t="s">
        <v>1766</v>
      </c>
      <c r="V174" s="11" t="s">
        <v>2304</v>
      </c>
      <c r="W174" s="23" t="s">
        <v>67</v>
      </c>
      <c r="X174" s="13" t="s">
        <v>67</v>
      </c>
    </row>
    <row r="175" spans="1:24" ht="48" customHeight="1">
      <c r="A175" s="11" t="s">
        <v>55</v>
      </c>
      <c r="B175" s="11" t="s">
        <v>15</v>
      </c>
      <c r="C175" s="11" t="s">
        <v>2300</v>
      </c>
      <c r="D175" s="11" t="s">
        <v>2308</v>
      </c>
      <c r="E175" s="11" t="s">
        <v>813</v>
      </c>
      <c r="F175" s="11" t="s">
        <v>59</v>
      </c>
      <c r="G175" s="11" t="s">
        <v>60</v>
      </c>
      <c r="H175" s="11" t="s">
        <v>207</v>
      </c>
      <c r="I175" s="11" t="s">
        <v>2309</v>
      </c>
      <c r="J175" s="11" t="s">
        <v>2310</v>
      </c>
      <c r="K175" s="11" t="s">
        <v>2303</v>
      </c>
      <c r="L175" s="12" t="s">
        <v>23</v>
      </c>
      <c r="M175" s="12" t="s">
        <v>673</v>
      </c>
      <c r="N175" s="11" t="s">
        <v>1883</v>
      </c>
      <c r="O175" s="11" t="s">
        <v>68</v>
      </c>
      <c r="P175" s="11" t="s">
        <v>816</v>
      </c>
      <c r="Q175" s="11" t="s">
        <v>67</v>
      </c>
      <c r="R175" s="11" t="s">
        <v>67</v>
      </c>
      <c r="S175" s="11" t="s">
        <v>212</v>
      </c>
      <c r="T175" s="11" t="s">
        <v>15</v>
      </c>
      <c r="U175" s="11" t="s">
        <v>1766</v>
      </c>
      <c r="V175" s="11" t="s">
        <v>2304</v>
      </c>
      <c r="W175" s="23" t="s">
        <v>67</v>
      </c>
      <c r="X175" s="13" t="s">
        <v>67</v>
      </c>
    </row>
    <row r="176" spans="1:24" ht="90" customHeight="1">
      <c r="A176" s="11" t="s">
        <v>55</v>
      </c>
      <c r="B176" s="11" t="s">
        <v>15</v>
      </c>
      <c r="C176" s="11" t="s">
        <v>2311</v>
      </c>
      <c r="D176" s="11" t="s">
        <v>2312</v>
      </c>
      <c r="E176" s="11" t="s">
        <v>215</v>
      </c>
      <c r="F176" s="11" t="s">
        <v>59</v>
      </c>
      <c r="G176" s="11" t="s">
        <v>979</v>
      </c>
      <c r="H176" s="11" t="s">
        <v>234</v>
      </c>
      <c r="I176" s="11" t="s">
        <v>235</v>
      </c>
      <c r="J176" s="11" t="s">
        <v>67</v>
      </c>
      <c r="K176" s="11" t="s">
        <v>2313</v>
      </c>
      <c r="L176" s="12" t="s">
        <v>106</v>
      </c>
      <c r="M176" s="12" t="s">
        <v>67</v>
      </c>
      <c r="N176" s="11" t="s">
        <v>237</v>
      </c>
      <c r="O176" s="11" t="s">
        <v>68</v>
      </c>
      <c r="P176" s="11" t="s">
        <v>220</v>
      </c>
      <c r="Q176" s="11" t="s">
        <v>1641</v>
      </c>
      <c r="R176" s="11" t="s">
        <v>67</v>
      </c>
      <c r="S176" s="11" t="s">
        <v>212</v>
      </c>
      <c r="T176" s="11" t="s">
        <v>2314</v>
      </c>
      <c r="U176" s="11" t="s">
        <v>1766</v>
      </c>
      <c r="V176" s="11" t="s">
        <v>2315</v>
      </c>
      <c r="W176" s="23" t="s">
        <v>67</v>
      </c>
      <c r="X176" s="13" t="s">
        <v>67</v>
      </c>
    </row>
    <row r="177" spans="1:24" ht="146.1" customHeight="1">
      <c r="A177" s="11" t="s">
        <v>55</v>
      </c>
      <c r="B177" s="11" t="s">
        <v>15</v>
      </c>
      <c r="C177" s="11" t="s">
        <v>2316</v>
      </c>
      <c r="D177" s="11" t="s">
        <v>2317</v>
      </c>
      <c r="E177" s="11" t="s">
        <v>1660</v>
      </c>
      <c r="F177" s="11" t="s">
        <v>59</v>
      </c>
      <c r="G177" s="11" t="s">
        <v>979</v>
      </c>
      <c r="H177" s="11" t="s">
        <v>234</v>
      </c>
      <c r="I177" s="11" t="s">
        <v>235</v>
      </c>
      <c r="J177" s="11" t="s">
        <v>67</v>
      </c>
      <c r="K177" s="11" t="s">
        <v>2318</v>
      </c>
      <c r="L177" s="12" t="s">
        <v>106</v>
      </c>
      <c r="M177" s="12" t="s">
        <v>67</v>
      </c>
      <c r="N177" s="11" t="s">
        <v>2319</v>
      </c>
      <c r="O177" s="11" t="s">
        <v>68</v>
      </c>
      <c r="P177" s="11" t="s">
        <v>159</v>
      </c>
      <c r="Q177" s="11" t="s">
        <v>67</v>
      </c>
      <c r="R177" s="11" t="s">
        <v>67</v>
      </c>
      <c r="S177" s="11" t="s">
        <v>212</v>
      </c>
      <c r="T177" s="11" t="s">
        <v>2320</v>
      </c>
      <c r="U177" s="11" t="s">
        <v>1766</v>
      </c>
      <c r="V177" s="11" t="s">
        <v>2321</v>
      </c>
      <c r="W177" s="23" t="s">
        <v>67</v>
      </c>
      <c r="X177" s="13" t="s">
        <v>67</v>
      </c>
    </row>
    <row r="178" spans="1:24" ht="62.1" customHeight="1">
      <c r="A178" s="11" t="s">
        <v>55</v>
      </c>
      <c r="B178" s="11" t="s">
        <v>15</v>
      </c>
      <c r="C178" s="11" t="s">
        <v>2322</v>
      </c>
      <c r="D178" s="11" t="s">
        <v>2323</v>
      </c>
      <c r="E178" s="11" t="s">
        <v>1660</v>
      </c>
      <c r="F178" s="11" t="s">
        <v>59</v>
      </c>
      <c r="G178" s="11" t="s">
        <v>979</v>
      </c>
      <c r="H178" s="11" t="s">
        <v>234</v>
      </c>
      <c r="I178" s="11" t="s">
        <v>2324</v>
      </c>
      <c r="J178" s="11" t="s">
        <v>67</v>
      </c>
      <c r="K178" s="11" t="s">
        <v>2318</v>
      </c>
      <c r="L178" s="12" t="s">
        <v>25</v>
      </c>
      <c r="M178" s="12" t="s">
        <v>67</v>
      </c>
      <c r="N178" s="11" t="s">
        <v>237</v>
      </c>
      <c r="O178" s="11" t="s">
        <v>68</v>
      </c>
      <c r="P178" s="11" t="s">
        <v>159</v>
      </c>
      <c r="Q178" s="11" t="s">
        <v>67</v>
      </c>
      <c r="R178" s="11" t="s">
        <v>67</v>
      </c>
      <c r="S178" s="11" t="s">
        <v>1810</v>
      </c>
      <c r="T178" s="11" t="s">
        <v>2325</v>
      </c>
      <c r="U178" s="11" t="s">
        <v>1789</v>
      </c>
      <c r="V178" s="11" t="s">
        <v>2326</v>
      </c>
      <c r="W178" s="23" t="s">
        <v>2327</v>
      </c>
      <c r="X178" s="13" t="s">
        <v>2328</v>
      </c>
    </row>
    <row r="179" spans="1:24" ht="62.1" customHeight="1">
      <c r="A179" s="11" t="s">
        <v>55</v>
      </c>
      <c r="B179" s="11" t="s">
        <v>15</v>
      </c>
      <c r="C179" s="11" t="s">
        <v>2329</v>
      </c>
      <c r="D179" s="11" t="s">
        <v>2330</v>
      </c>
      <c r="E179" s="11" t="s">
        <v>1673</v>
      </c>
      <c r="F179" s="11" t="s">
        <v>59</v>
      </c>
      <c r="G179" s="11" t="s">
        <v>60</v>
      </c>
      <c r="H179" s="11" t="s">
        <v>234</v>
      </c>
      <c r="I179" s="11" t="s">
        <v>2331</v>
      </c>
      <c r="J179" s="11" t="s">
        <v>2332</v>
      </c>
      <c r="K179" s="11" t="s">
        <v>2333</v>
      </c>
      <c r="L179" s="12" t="s">
        <v>23</v>
      </c>
      <c r="M179" s="12" t="s">
        <v>66</v>
      </c>
      <c r="N179" s="11" t="s">
        <v>67</v>
      </c>
      <c r="O179" s="11" t="s">
        <v>68</v>
      </c>
      <c r="P179" s="11">
        <v>6</v>
      </c>
      <c r="Q179" s="11" t="s">
        <v>1677</v>
      </c>
      <c r="R179" s="11" t="s">
        <v>67</v>
      </c>
      <c r="S179" s="11" t="s">
        <v>212</v>
      </c>
      <c r="T179" s="11" t="s">
        <v>2334</v>
      </c>
      <c r="U179" s="11" t="s">
        <v>1766</v>
      </c>
      <c r="V179" s="11" t="s">
        <v>2335</v>
      </c>
      <c r="W179" s="23" t="s">
        <v>67</v>
      </c>
      <c r="X179" s="13" t="s">
        <v>67</v>
      </c>
    </row>
    <row r="180" spans="1:24" ht="104.1" customHeight="1">
      <c r="A180" s="11" t="s">
        <v>55</v>
      </c>
      <c r="B180" s="11" t="s">
        <v>15</v>
      </c>
      <c r="C180" s="11" t="s">
        <v>2336</v>
      </c>
      <c r="D180" s="11" t="s">
        <v>2337</v>
      </c>
      <c r="E180" s="11" t="s">
        <v>1695</v>
      </c>
      <c r="F180" s="11" t="s">
        <v>59</v>
      </c>
      <c r="G180" s="11" t="s">
        <v>979</v>
      </c>
      <c r="H180" s="11" t="s">
        <v>234</v>
      </c>
      <c r="I180" s="11" t="s">
        <v>235</v>
      </c>
      <c r="J180" s="11" t="s">
        <v>67</v>
      </c>
      <c r="K180" s="11" t="s">
        <v>2338</v>
      </c>
      <c r="L180" s="12" t="s">
        <v>106</v>
      </c>
      <c r="M180" s="12" t="s">
        <v>67</v>
      </c>
      <c r="N180" s="11" t="s">
        <v>237</v>
      </c>
      <c r="O180" s="11" t="s">
        <v>68</v>
      </c>
      <c r="P180" s="11" t="s">
        <v>1610</v>
      </c>
      <c r="Q180" s="11">
        <v>310</v>
      </c>
      <c r="R180" s="11" t="s">
        <v>67</v>
      </c>
      <c r="S180" s="11" t="s">
        <v>212</v>
      </c>
      <c r="T180" s="11" t="s">
        <v>2070</v>
      </c>
      <c r="U180" s="11" t="s">
        <v>1766</v>
      </c>
      <c r="V180" s="11" t="s">
        <v>2339</v>
      </c>
      <c r="W180" s="23" t="s">
        <v>67</v>
      </c>
      <c r="X180" s="13" t="s">
        <v>67</v>
      </c>
    </row>
    <row r="181" spans="1:24" ht="216" customHeight="1">
      <c r="A181" s="11" t="s">
        <v>55</v>
      </c>
      <c r="B181" s="11" t="s">
        <v>15</v>
      </c>
      <c r="C181" s="11" t="s">
        <v>2340</v>
      </c>
      <c r="D181" s="11" t="s">
        <v>2341</v>
      </c>
      <c r="E181" s="11" t="s">
        <v>1695</v>
      </c>
      <c r="F181" s="11" t="s">
        <v>996</v>
      </c>
      <c r="G181" s="11" t="s">
        <v>979</v>
      </c>
      <c r="H181" s="11" t="s">
        <v>996</v>
      </c>
      <c r="I181" s="11" t="s">
        <v>2342</v>
      </c>
      <c r="J181" s="11" t="s">
        <v>67</v>
      </c>
      <c r="K181" s="11" t="s">
        <v>2343</v>
      </c>
      <c r="L181" s="12" t="s">
        <v>25</v>
      </c>
      <c r="M181" s="12" t="s">
        <v>67</v>
      </c>
      <c r="N181" s="11" t="s">
        <v>1883</v>
      </c>
      <c r="O181" s="11" t="s">
        <v>68</v>
      </c>
      <c r="P181" s="11" t="s">
        <v>1610</v>
      </c>
      <c r="Q181" s="11" t="s">
        <v>67</v>
      </c>
      <c r="R181" s="11" t="s">
        <v>67</v>
      </c>
      <c r="S181" s="11" t="s">
        <v>1873</v>
      </c>
      <c r="T181" s="11" t="s">
        <v>2344</v>
      </c>
      <c r="U181" s="11" t="s">
        <v>1789</v>
      </c>
      <c r="V181" s="11" t="s">
        <v>2345</v>
      </c>
      <c r="W181" s="23" t="s">
        <v>2346</v>
      </c>
      <c r="X181" s="13" t="s">
        <v>2347</v>
      </c>
    </row>
    <row r="182" spans="1:24" ht="75.95" customHeight="1">
      <c r="A182" s="11" t="s">
        <v>55</v>
      </c>
      <c r="B182" s="11" t="s">
        <v>15</v>
      </c>
      <c r="C182" s="11" t="s">
        <v>2348</v>
      </c>
      <c r="D182" s="11" t="s">
        <v>2349</v>
      </c>
      <c r="E182" s="11" t="s">
        <v>1707</v>
      </c>
      <c r="F182" s="11" t="s">
        <v>59</v>
      </c>
      <c r="G182" s="11" t="s">
        <v>979</v>
      </c>
      <c r="H182" s="11" t="s">
        <v>346</v>
      </c>
      <c r="I182" s="11" t="s">
        <v>2350</v>
      </c>
      <c r="J182" s="11" t="s">
        <v>2351</v>
      </c>
      <c r="K182" s="11" t="s">
        <v>2352</v>
      </c>
      <c r="L182" s="12" t="s">
        <v>23</v>
      </c>
      <c r="M182" s="12" t="s">
        <v>66</v>
      </c>
      <c r="N182" s="11" t="s">
        <v>67</v>
      </c>
      <c r="O182" s="11" t="s">
        <v>92</v>
      </c>
      <c r="P182" s="11">
        <v>10</v>
      </c>
      <c r="Q182" s="11" t="s">
        <v>343</v>
      </c>
      <c r="R182" s="11" t="s">
        <v>67</v>
      </c>
      <c r="S182" s="11" t="s">
        <v>212</v>
      </c>
      <c r="T182" s="11" t="s">
        <v>67</v>
      </c>
      <c r="U182" s="11" t="s">
        <v>1766</v>
      </c>
      <c r="V182" s="11" t="s">
        <v>2353</v>
      </c>
      <c r="W182" s="23" t="s">
        <v>67</v>
      </c>
      <c r="X182" s="13" t="s">
        <v>67</v>
      </c>
    </row>
    <row r="183" spans="1:24" ht="75.95" customHeight="1">
      <c r="A183" s="11" t="s">
        <v>55</v>
      </c>
      <c r="B183" s="11" t="s">
        <v>15</v>
      </c>
      <c r="C183" s="11" t="s">
        <v>2354</v>
      </c>
      <c r="D183" s="11" t="s">
        <v>2355</v>
      </c>
      <c r="E183" s="11" t="s">
        <v>2356</v>
      </c>
      <c r="F183" s="11" t="s">
        <v>996</v>
      </c>
      <c r="G183" s="11" t="s">
        <v>979</v>
      </c>
      <c r="H183" s="11" t="s">
        <v>996</v>
      </c>
      <c r="I183" s="11" t="s">
        <v>2357</v>
      </c>
      <c r="J183" s="11" t="s">
        <v>2358</v>
      </c>
      <c r="K183" s="11" t="s">
        <v>2359</v>
      </c>
      <c r="L183" s="12" t="s">
        <v>23</v>
      </c>
      <c r="M183" s="12" t="s">
        <v>66</v>
      </c>
      <c r="N183" s="11" t="s">
        <v>67</v>
      </c>
      <c r="O183" s="11" t="s">
        <v>2360</v>
      </c>
      <c r="P183" s="11" t="s">
        <v>883</v>
      </c>
      <c r="Q183" s="11" t="s">
        <v>67</v>
      </c>
      <c r="R183" s="11" t="s">
        <v>67</v>
      </c>
      <c r="S183" s="11" t="s">
        <v>1787</v>
      </c>
      <c r="T183" s="11" t="s">
        <v>2361</v>
      </c>
      <c r="U183" s="11" t="s">
        <v>1789</v>
      </c>
      <c r="V183" s="11" t="s">
        <v>2362</v>
      </c>
      <c r="W183" s="23" t="s">
        <v>2363</v>
      </c>
      <c r="X183" s="13" t="s">
        <v>2364</v>
      </c>
    </row>
    <row r="184" spans="1:24" ht="90" customHeight="1">
      <c r="A184" s="11" t="s">
        <v>55</v>
      </c>
      <c r="B184" s="11" t="s">
        <v>15</v>
      </c>
      <c r="C184" s="11" t="s">
        <v>2365</v>
      </c>
      <c r="D184" s="11" t="s">
        <v>2366</v>
      </c>
      <c r="E184" s="11" t="s">
        <v>1722</v>
      </c>
      <c r="F184" s="11" t="s">
        <v>59</v>
      </c>
      <c r="G184" s="11" t="s">
        <v>979</v>
      </c>
      <c r="H184" s="11" t="s">
        <v>234</v>
      </c>
      <c r="I184" s="11" t="s">
        <v>235</v>
      </c>
      <c r="J184" s="11" t="s">
        <v>67</v>
      </c>
      <c r="K184" s="11" t="s">
        <v>2367</v>
      </c>
      <c r="L184" s="12" t="s">
        <v>106</v>
      </c>
      <c r="M184" s="12" t="s">
        <v>67</v>
      </c>
      <c r="N184" s="11" t="s">
        <v>2368</v>
      </c>
      <c r="O184" s="11" t="s">
        <v>68</v>
      </c>
      <c r="P184" s="11" t="s">
        <v>883</v>
      </c>
      <c r="Q184" s="11" t="s">
        <v>67</v>
      </c>
      <c r="R184" s="11" t="s">
        <v>67</v>
      </c>
      <c r="S184" s="11" t="s">
        <v>212</v>
      </c>
      <c r="T184" s="11" t="s">
        <v>2369</v>
      </c>
      <c r="U184" s="11" t="s">
        <v>1766</v>
      </c>
      <c r="V184" s="11" t="s">
        <v>2370</v>
      </c>
      <c r="W184" s="23" t="s">
        <v>67</v>
      </c>
      <c r="X184" s="13" t="s">
        <v>67</v>
      </c>
    </row>
    <row r="185" spans="1:24" ht="104.1" customHeight="1">
      <c r="A185" s="29" t="s">
        <v>55</v>
      </c>
      <c r="B185" s="29" t="s">
        <v>15</v>
      </c>
      <c r="C185" s="29" t="s">
        <v>2371</v>
      </c>
      <c r="D185" s="29" t="s">
        <v>2372</v>
      </c>
      <c r="E185" s="29" t="s">
        <v>1735</v>
      </c>
      <c r="F185" s="29" t="s">
        <v>996</v>
      </c>
      <c r="G185" s="29" t="s">
        <v>979</v>
      </c>
      <c r="H185" s="29" t="s">
        <v>996</v>
      </c>
      <c r="I185" s="29" t="s">
        <v>2373</v>
      </c>
      <c r="J185" s="29" t="s">
        <v>67</v>
      </c>
      <c r="K185" s="29" t="s">
        <v>2374</v>
      </c>
      <c r="L185" s="30" t="s">
        <v>25</v>
      </c>
      <c r="M185" s="30" t="s">
        <v>67</v>
      </c>
      <c r="N185" s="29" t="s">
        <v>2006</v>
      </c>
      <c r="O185" s="29" t="s">
        <v>68</v>
      </c>
      <c r="P185" s="29" t="s">
        <v>67</v>
      </c>
      <c r="Q185" s="29" t="s">
        <v>1739</v>
      </c>
      <c r="R185" s="29" t="s">
        <v>67</v>
      </c>
      <c r="S185" s="29" t="s">
        <v>2015</v>
      </c>
      <c r="T185" s="29" t="s">
        <v>2375</v>
      </c>
      <c r="U185" s="29" t="s">
        <v>1789</v>
      </c>
      <c r="V185" s="29" t="s">
        <v>2376</v>
      </c>
      <c r="W185" s="31" t="s">
        <v>2377</v>
      </c>
      <c r="X185" s="32" t="s">
        <v>2378</v>
      </c>
    </row>
  </sheetData>
  <autoFilter ref="W1" xr:uid="{00000000-0001-0000-0200-000000000000}"/>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27"/>
  <sheetViews>
    <sheetView showGridLines="0" topLeftCell="D28" workbookViewId="0"/>
  </sheetViews>
  <sheetFormatPr defaultRowHeight="28.5" customHeight="1"/>
  <cols>
    <col min="1" max="1" width="14" customWidth="1"/>
    <col min="2" max="2" width="13" customWidth="1"/>
    <col min="3" max="3" width="16" customWidth="1"/>
    <col min="4" max="4" width="27" customWidth="1"/>
    <col min="5" max="5" width="32" customWidth="1"/>
    <col min="6" max="6" width="14" customWidth="1"/>
    <col min="7" max="7" width="13" customWidth="1"/>
    <col min="8" max="8" width="18" customWidth="1"/>
    <col min="9" max="9" width="48" customWidth="1"/>
    <col min="10" max="10" width="72" customWidth="1"/>
    <col min="11" max="11" width="58" customWidth="1"/>
    <col min="12" max="12" width="13.375" customWidth="1"/>
    <col min="13" max="13" width="17" customWidth="1"/>
    <col min="14" max="14" width="19.25" customWidth="1"/>
    <col min="15" max="15" width="36" customWidth="1"/>
    <col min="16" max="16" width="12" customWidth="1"/>
    <col min="17" max="17" width="24" customWidth="1"/>
    <col min="18" max="18" width="46" customWidth="1"/>
    <col min="19" max="19" width="34" customWidth="1"/>
    <col min="20" max="20" width="44" customWidth="1"/>
    <col min="21" max="21" width="20" customWidth="1"/>
    <col min="22" max="22" width="28" customWidth="1"/>
    <col min="23" max="23" width="48" customWidth="1"/>
  </cols>
  <sheetData>
    <row r="1" spans="1:24" ht="36.950000000000003" customHeight="1">
      <c r="A1" s="9" t="s">
        <v>33</v>
      </c>
      <c r="B1" s="9" t="s">
        <v>2</v>
      </c>
      <c r="C1" s="9" t="s">
        <v>34</v>
      </c>
      <c r="D1" s="9" t="s">
        <v>35</v>
      </c>
      <c r="E1" s="9" t="s">
        <v>36</v>
      </c>
      <c r="F1" s="9" t="s">
        <v>37</v>
      </c>
      <c r="G1" s="9" t="s">
        <v>38</v>
      </c>
      <c r="H1" s="9" t="s">
        <v>39</v>
      </c>
      <c r="I1" s="9" t="s">
        <v>40</v>
      </c>
      <c r="J1" s="9" t="s">
        <v>41</v>
      </c>
      <c r="K1" s="9" t="s">
        <v>42</v>
      </c>
      <c r="L1" s="9" t="s">
        <v>43</v>
      </c>
      <c r="M1" s="9" t="s">
        <v>44</v>
      </c>
      <c r="N1" s="9" t="s">
        <v>45</v>
      </c>
      <c r="O1" s="9" t="s">
        <v>46</v>
      </c>
      <c r="P1" s="9" t="s">
        <v>47</v>
      </c>
      <c r="Q1" s="9" t="s">
        <v>48</v>
      </c>
      <c r="R1" s="9" t="s">
        <v>49</v>
      </c>
      <c r="S1" s="9" t="s">
        <v>50</v>
      </c>
      <c r="T1" s="9" t="s">
        <v>1126</v>
      </c>
      <c r="U1" s="9" t="s">
        <v>1127</v>
      </c>
      <c r="V1" s="9" t="s">
        <v>1128</v>
      </c>
      <c r="W1" s="9" t="s">
        <v>52</v>
      </c>
      <c r="X1" s="10" t="s">
        <v>51</v>
      </c>
    </row>
    <row r="2" spans="1:24" ht="104.1" customHeight="1">
      <c r="A2" s="11" t="s">
        <v>55</v>
      </c>
      <c r="B2" s="11" t="s">
        <v>17</v>
      </c>
      <c r="C2" s="11" t="s">
        <v>2379</v>
      </c>
      <c r="D2" s="11" t="s">
        <v>2380</v>
      </c>
      <c r="E2" s="11" t="s">
        <v>2381</v>
      </c>
      <c r="F2" s="11" t="s">
        <v>59</v>
      </c>
      <c r="G2" s="11" t="s">
        <v>60</v>
      </c>
      <c r="H2" s="11" t="s">
        <v>194</v>
      </c>
      <c r="I2" s="11" t="s">
        <v>224</v>
      </c>
      <c r="J2" s="11" t="s">
        <v>2382</v>
      </c>
      <c r="K2" s="11" t="s">
        <v>2383</v>
      </c>
      <c r="L2" s="12" t="s">
        <v>23</v>
      </c>
      <c r="M2" s="12" t="s">
        <v>67</v>
      </c>
      <c r="N2" s="11" t="s">
        <v>67</v>
      </c>
      <c r="O2" s="11" t="s">
        <v>68</v>
      </c>
      <c r="P2" s="11" t="s">
        <v>816</v>
      </c>
      <c r="Q2" s="11">
        <v>123456</v>
      </c>
      <c r="R2" s="11" t="s">
        <v>67</v>
      </c>
      <c r="S2" s="11" t="s">
        <v>212</v>
      </c>
      <c r="T2" s="11" t="s">
        <v>2384</v>
      </c>
      <c r="U2" s="11" t="s">
        <v>1766</v>
      </c>
      <c r="V2" s="11" t="s">
        <v>2385</v>
      </c>
      <c r="W2" s="23" t="s">
        <v>67</v>
      </c>
      <c r="X2" s="13" t="s">
        <v>67</v>
      </c>
    </row>
    <row r="3" spans="1:24" ht="104.1" customHeight="1">
      <c r="A3" s="11" t="s">
        <v>55</v>
      </c>
      <c r="B3" s="11" t="s">
        <v>17</v>
      </c>
      <c r="C3" s="11" t="s">
        <v>2386</v>
      </c>
      <c r="D3" s="11" t="s">
        <v>2387</v>
      </c>
      <c r="E3" s="11" t="s">
        <v>2381</v>
      </c>
      <c r="F3" s="11" t="s">
        <v>59</v>
      </c>
      <c r="G3" s="11" t="s">
        <v>60</v>
      </c>
      <c r="H3" s="11" t="s">
        <v>200</v>
      </c>
      <c r="I3" s="11" t="s">
        <v>2388</v>
      </c>
      <c r="J3" s="11" t="s">
        <v>2389</v>
      </c>
      <c r="K3" s="11" t="s">
        <v>2390</v>
      </c>
      <c r="L3" s="12" t="s">
        <v>23</v>
      </c>
      <c r="M3" s="12" t="s">
        <v>67</v>
      </c>
      <c r="N3" s="11" t="s">
        <v>67</v>
      </c>
      <c r="O3" s="11" t="s">
        <v>68</v>
      </c>
      <c r="P3" s="11" t="s">
        <v>816</v>
      </c>
      <c r="Q3" s="11">
        <v>123456</v>
      </c>
      <c r="R3" s="11" t="s">
        <v>67</v>
      </c>
      <c r="S3" s="11" t="s">
        <v>212</v>
      </c>
      <c r="T3" s="11" t="s">
        <v>2384</v>
      </c>
      <c r="U3" s="11" t="s">
        <v>1766</v>
      </c>
      <c r="V3" s="11" t="s">
        <v>2385</v>
      </c>
      <c r="W3" s="23" t="s">
        <v>67</v>
      </c>
      <c r="X3" s="13" t="s">
        <v>67</v>
      </c>
    </row>
    <row r="4" spans="1:24" ht="117.95" customHeight="1">
      <c r="A4" s="11" t="s">
        <v>55</v>
      </c>
      <c r="B4" s="11" t="s">
        <v>17</v>
      </c>
      <c r="C4" s="11" t="s">
        <v>2391</v>
      </c>
      <c r="D4" s="11" t="s">
        <v>2392</v>
      </c>
      <c r="E4" s="11" t="s">
        <v>798</v>
      </c>
      <c r="F4" s="11" t="s">
        <v>59</v>
      </c>
      <c r="G4" s="11" t="s">
        <v>60</v>
      </c>
      <c r="H4" s="11" t="s">
        <v>61</v>
      </c>
      <c r="I4" s="11" t="s">
        <v>799</v>
      </c>
      <c r="J4" s="11" t="s">
        <v>800</v>
      </c>
      <c r="K4" s="11" t="s">
        <v>801</v>
      </c>
      <c r="L4" s="12" t="s">
        <v>23</v>
      </c>
      <c r="M4" s="12" t="s">
        <v>67</v>
      </c>
      <c r="N4" s="11" t="s">
        <v>67</v>
      </c>
      <c r="O4" s="11" t="s">
        <v>68</v>
      </c>
      <c r="P4" s="11" t="s">
        <v>244</v>
      </c>
      <c r="Q4" s="11">
        <v>123456</v>
      </c>
      <c r="R4" s="11" t="s">
        <v>67</v>
      </c>
      <c r="S4" s="11" t="s">
        <v>212</v>
      </c>
      <c r="T4" s="11" t="s">
        <v>2393</v>
      </c>
      <c r="U4" s="11" t="s">
        <v>1766</v>
      </c>
      <c r="V4" s="11" t="s">
        <v>2394</v>
      </c>
      <c r="W4" s="23" t="s">
        <v>67</v>
      </c>
      <c r="X4" s="13" t="s">
        <v>67</v>
      </c>
    </row>
    <row r="5" spans="1:24" ht="117.95" customHeight="1">
      <c r="A5" s="11" t="s">
        <v>55</v>
      </c>
      <c r="B5" s="11" t="s">
        <v>17</v>
      </c>
      <c r="C5" s="11" t="s">
        <v>2395</v>
      </c>
      <c r="D5" s="11" t="s">
        <v>2396</v>
      </c>
      <c r="E5" s="11" t="s">
        <v>798</v>
      </c>
      <c r="F5" s="11" t="s">
        <v>59</v>
      </c>
      <c r="G5" s="11" t="s">
        <v>60</v>
      </c>
      <c r="H5" s="11" t="s">
        <v>194</v>
      </c>
      <c r="I5" s="11" t="s">
        <v>224</v>
      </c>
      <c r="J5" s="11" t="s">
        <v>804</v>
      </c>
      <c r="K5" s="11" t="s">
        <v>805</v>
      </c>
      <c r="L5" s="12" t="s">
        <v>23</v>
      </c>
      <c r="M5" s="12" t="s">
        <v>67</v>
      </c>
      <c r="N5" s="11" t="s">
        <v>67</v>
      </c>
      <c r="O5" s="11" t="s">
        <v>68</v>
      </c>
      <c r="P5" s="11" t="s">
        <v>244</v>
      </c>
      <c r="Q5" s="11">
        <v>123456</v>
      </c>
      <c r="R5" s="11" t="s">
        <v>67</v>
      </c>
      <c r="S5" s="11" t="s">
        <v>212</v>
      </c>
      <c r="T5" s="11" t="s">
        <v>2393</v>
      </c>
      <c r="U5" s="11" t="s">
        <v>1766</v>
      </c>
      <c r="V5" s="11" t="s">
        <v>2397</v>
      </c>
      <c r="W5" s="23" t="s">
        <v>67</v>
      </c>
      <c r="X5" s="13" t="s">
        <v>67</v>
      </c>
    </row>
    <row r="6" spans="1:24" ht="117.95" customHeight="1">
      <c r="A6" s="11" t="s">
        <v>55</v>
      </c>
      <c r="B6" s="11" t="s">
        <v>17</v>
      </c>
      <c r="C6" s="11" t="s">
        <v>2398</v>
      </c>
      <c r="D6" s="11" t="s">
        <v>2399</v>
      </c>
      <c r="E6" s="11" t="s">
        <v>798</v>
      </c>
      <c r="F6" s="11" t="s">
        <v>59</v>
      </c>
      <c r="G6" s="11" t="s">
        <v>60</v>
      </c>
      <c r="H6" s="11" t="s">
        <v>200</v>
      </c>
      <c r="I6" s="11" t="s">
        <v>2400</v>
      </c>
      <c r="J6" s="11" t="s">
        <v>2401</v>
      </c>
      <c r="K6" s="11" t="s">
        <v>2402</v>
      </c>
      <c r="L6" s="12" t="s">
        <v>23</v>
      </c>
      <c r="M6" s="12" t="s">
        <v>67</v>
      </c>
      <c r="N6" s="11" t="s">
        <v>67</v>
      </c>
      <c r="O6" s="11" t="s">
        <v>68</v>
      </c>
      <c r="P6" s="11" t="s">
        <v>244</v>
      </c>
      <c r="Q6" s="11">
        <v>123456</v>
      </c>
      <c r="R6" s="11" t="s">
        <v>67</v>
      </c>
      <c r="S6" s="11" t="s">
        <v>212</v>
      </c>
      <c r="T6" s="11" t="s">
        <v>2393</v>
      </c>
      <c r="U6" s="11" t="s">
        <v>1766</v>
      </c>
      <c r="V6" s="11" t="s">
        <v>2397</v>
      </c>
      <c r="W6" s="23" t="s">
        <v>67</v>
      </c>
      <c r="X6" s="13" t="s">
        <v>67</v>
      </c>
    </row>
    <row r="7" spans="1:24" ht="48" customHeight="1">
      <c r="A7" s="11" t="s">
        <v>55</v>
      </c>
      <c r="B7" s="11" t="s">
        <v>17</v>
      </c>
      <c r="C7" s="11" t="s">
        <v>2403</v>
      </c>
      <c r="D7" s="11" t="s">
        <v>2404</v>
      </c>
      <c r="E7" s="11" t="s">
        <v>58</v>
      </c>
      <c r="F7" s="11" t="s">
        <v>59</v>
      </c>
      <c r="G7" s="11" t="s">
        <v>60</v>
      </c>
      <c r="H7" s="11" t="s">
        <v>61</v>
      </c>
      <c r="I7" s="11" t="s">
        <v>1248</v>
      </c>
      <c r="J7" s="11" t="s">
        <v>63</v>
      </c>
      <c r="K7" s="11" t="s">
        <v>64</v>
      </c>
      <c r="L7" s="12" t="s">
        <v>23</v>
      </c>
      <c r="M7" s="12" t="s">
        <v>67</v>
      </c>
      <c r="N7" s="11" t="s">
        <v>67</v>
      </c>
      <c r="O7" s="11" t="s">
        <v>68</v>
      </c>
      <c r="P7" s="11" t="s">
        <v>69</v>
      </c>
      <c r="Q7" s="11" t="s">
        <v>211</v>
      </c>
      <c r="R7" s="11" t="s">
        <v>67</v>
      </c>
      <c r="S7" s="11" t="s">
        <v>212</v>
      </c>
      <c r="T7" s="11" t="s">
        <v>2405</v>
      </c>
      <c r="U7" s="11" t="s">
        <v>1766</v>
      </c>
      <c r="V7" s="11" t="s">
        <v>2406</v>
      </c>
      <c r="W7" s="23" t="s">
        <v>67</v>
      </c>
      <c r="X7" s="13" t="s">
        <v>67</v>
      </c>
    </row>
    <row r="8" spans="1:24" ht="48" customHeight="1">
      <c r="A8" s="11" t="s">
        <v>55</v>
      </c>
      <c r="B8" s="11" t="s">
        <v>17</v>
      </c>
      <c r="C8" s="11" t="s">
        <v>2407</v>
      </c>
      <c r="D8" s="11" t="s">
        <v>2408</v>
      </c>
      <c r="E8" s="11" t="s">
        <v>58</v>
      </c>
      <c r="F8" s="11" t="s">
        <v>59</v>
      </c>
      <c r="G8" s="11" t="s">
        <v>60</v>
      </c>
      <c r="H8" s="11" t="s">
        <v>194</v>
      </c>
      <c r="I8" s="11" t="s">
        <v>224</v>
      </c>
      <c r="J8" s="11" t="s">
        <v>1256</v>
      </c>
      <c r="K8" s="11" t="s">
        <v>2409</v>
      </c>
      <c r="L8" s="12" t="s">
        <v>23</v>
      </c>
      <c r="M8" s="12" t="s">
        <v>67</v>
      </c>
      <c r="N8" s="11" t="s">
        <v>67</v>
      </c>
      <c r="O8" s="11" t="s">
        <v>68</v>
      </c>
      <c r="P8" s="11" t="s">
        <v>69</v>
      </c>
      <c r="Q8" s="11" t="s">
        <v>211</v>
      </c>
      <c r="R8" s="11" t="s">
        <v>67</v>
      </c>
      <c r="S8" s="11" t="s">
        <v>212</v>
      </c>
      <c r="T8" s="11" t="s">
        <v>2405</v>
      </c>
      <c r="U8" s="11" t="s">
        <v>1766</v>
      </c>
      <c r="V8" s="11" t="s">
        <v>2410</v>
      </c>
      <c r="W8" s="23" t="s">
        <v>67</v>
      </c>
      <c r="X8" s="13" t="s">
        <v>67</v>
      </c>
    </row>
    <row r="9" spans="1:24" ht="48" customHeight="1">
      <c r="A9" s="11" t="s">
        <v>55</v>
      </c>
      <c r="B9" s="11" t="s">
        <v>17</v>
      </c>
      <c r="C9" s="11" t="s">
        <v>2411</v>
      </c>
      <c r="D9" s="11" t="s">
        <v>2412</v>
      </c>
      <c r="E9" s="11" t="s">
        <v>58</v>
      </c>
      <c r="F9" s="11" t="s">
        <v>59</v>
      </c>
      <c r="G9" s="11" t="s">
        <v>60</v>
      </c>
      <c r="H9" s="11" t="s">
        <v>200</v>
      </c>
      <c r="I9" s="11" t="s">
        <v>201</v>
      </c>
      <c r="J9" s="11" t="s">
        <v>1262</v>
      </c>
      <c r="K9" s="11" t="s">
        <v>1263</v>
      </c>
      <c r="L9" s="12" t="s">
        <v>23</v>
      </c>
      <c r="M9" s="12" t="s">
        <v>67</v>
      </c>
      <c r="N9" s="11" t="s">
        <v>67</v>
      </c>
      <c r="O9" s="11" t="s">
        <v>68</v>
      </c>
      <c r="P9" s="11" t="s">
        <v>69</v>
      </c>
      <c r="Q9" s="11" t="s">
        <v>211</v>
      </c>
      <c r="R9" s="11" t="s">
        <v>67</v>
      </c>
      <c r="S9" s="11" t="s">
        <v>212</v>
      </c>
      <c r="T9" s="11" t="s">
        <v>2405</v>
      </c>
      <c r="U9" s="11" t="s">
        <v>1766</v>
      </c>
      <c r="V9" s="11" t="s">
        <v>2410</v>
      </c>
      <c r="W9" s="23" t="s">
        <v>67</v>
      </c>
      <c r="X9" s="13" t="s">
        <v>67</v>
      </c>
    </row>
    <row r="10" spans="1:24" ht="90" customHeight="1">
      <c r="A10" s="11" t="s">
        <v>55</v>
      </c>
      <c r="B10" s="11" t="s">
        <v>17</v>
      </c>
      <c r="C10" s="11" t="s">
        <v>2413</v>
      </c>
      <c r="D10" s="11" t="s">
        <v>2414</v>
      </c>
      <c r="E10" s="11" t="s">
        <v>58</v>
      </c>
      <c r="F10" s="11" t="s">
        <v>59</v>
      </c>
      <c r="G10" s="11" t="s">
        <v>60</v>
      </c>
      <c r="H10" s="11" t="s">
        <v>234</v>
      </c>
      <c r="I10" s="11" t="s">
        <v>235</v>
      </c>
      <c r="J10" s="11" t="s">
        <v>1268</v>
      </c>
      <c r="K10" s="11" t="s">
        <v>2415</v>
      </c>
      <c r="L10" s="12" t="s">
        <v>23</v>
      </c>
      <c r="M10" s="12" t="s">
        <v>67</v>
      </c>
      <c r="N10" s="11" t="s">
        <v>67</v>
      </c>
      <c r="O10" s="11" t="s">
        <v>68</v>
      </c>
      <c r="P10" s="11" t="s">
        <v>69</v>
      </c>
      <c r="Q10" s="11" t="s">
        <v>211</v>
      </c>
      <c r="R10" s="11" t="s">
        <v>67</v>
      </c>
      <c r="S10" s="11" t="s">
        <v>212</v>
      </c>
      <c r="T10" s="11" t="s">
        <v>2405</v>
      </c>
      <c r="U10" s="11" t="s">
        <v>1766</v>
      </c>
      <c r="V10" s="11" t="s">
        <v>2410</v>
      </c>
      <c r="W10" s="23" t="s">
        <v>67</v>
      </c>
      <c r="X10" s="13" t="s">
        <v>67</v>
      </c>
    </row>
    <row r="11" spans="1:24" ht="33.950000000000003" customHeight="1">
      <c r="A11" s="11" t="s">
        <v>55</v>
      </c>
      <c r="B11" s="11" t="s">
        <v>17</v>
      </c>
      <c r="C11" s="11" t="s">
        <v>2416</v>
      </c>
      <c r="D11" s="11" t="s">
        <v>2417</v>
      </c>
      <c r="E11" s="11" t="s">
        <v>126</v>
      </c>
      <c r="F11" s="11" t="s">
        <v>59</v>
      </c>
      <c r="G11" s="11" t="s">
        <v>60</v>
      </c>
      <c r="H11" s="11" t="s">
        <v>61</v>
      </c>
      <c r="I11" s="11" t="s">
        <v>2418</v>
      </c>
      <c r="J11" s="11" t="s">
        <v>2419</v>
      </c>
      <c r="K11" s="11" t="s">
        <v>2420</v>
      </c>
      <c r="L11" s="12" t="s">
        <v>23</v>
      </c>
      <c r="M11" s="12" t="s">
        <v>67</v>
      </c>
      <c r="N11" s="11" t="s">
        <v>67</v>
      </c>
      <c r="O11" s="11" t="s">
        <v>130</v>
      </c>
      <c r="P11" s="11" t="s">
        <v>67</v>
      </c>
      <c r="Q11" s="11" t="s">
        <v>67</v>
      </c>
      <c r="R11" s="11" t="s">
        <v>67</v>
      </c>
      <c r="S11" s="11" t="s">
        <v>70</v>
      </c>
      <c r="T11" s="11" t="s">
        <v>2421</v>
      </c>
      <c r="U11" s="11" t="s">
        <v>2422</v>
      </c>
      <c r="V11" s="11" t="s">
        <v>2423</v>
      </c>
      <c r="W11" s="23" t="s">
        <v>67</v>
      </c>
      <c r="X11" s="13" t="s">
        <v>67</v>
      </c>
    </row>
    <row r="12" spans="1:24" ht="33.950000000000003" customHeight="1">
      <c r="A12" s="11" t="s">
        <v>55</v>
      </c>
      <c r="B12" s="11" t="s">
        <v>17</v>
      </c>
      <c r="C12" s="11" t="s">
        <v>1114</v>
      </c>
      <c r="D12" s="11" t="s">
        <v>2424</v>
      </c>
      <c r="E12" s="11" t="s">
        <v>126</v>
      </c>
      <c r="F12" s="11" t="s">
        <v>59</v>
      </c>
      <c r="G12" s="11" t="s">
        <v>60</v>
      </c>
      <c r="H12" s="11" t="s">
        <v>194</v>
      </c>
      <c r="I12" s="11" t="s">
        <v>1029</v>
      </c>
      <c r="J12" s="11" t="s">
        <v>1030</v>
      </c>
      <c r="K12" s="11" t="s">
        <v>2425</v>
      </c>
      <c r="L12" s="12" t="s">
        <v>23</v>
      </c>
      <c r="M12" s="12" t="s">
        <v>67</v>
      </c>
      <c r="N12" s="11" t="s">
        <v>67</v>
      </c>
      <c r="O12" s="11" t="s">
        <v>130</v>
      </c>
      <c r="P12" s="11" t="s">
        <v>67</v>
      </c>
      <c r="Q12" s="11" t="s">
        <v>67</v>
      </c>
      <c r="R12" s="11" t="s">
        <v>67</v>
      </c>
      <c r="S12" s="11" t="s">
        <v>70</v>
      </c>
      <c r="T12" s="11" t="s">
        <v>2421</v>
      </c>
      <c r="U12" s="11" t="s">
        <v>2422</v>
      </c>
      <c r="V12" s="11" t="s">
        <v>2423</v>
      </c>
      <c r="W12" s="23" t="s">
        <v>67</v>
      </c>
      <c r="X12" s="13" t="s">
        <v>67</v>
      </c>
    </row>
    <row r="13" spans="1:24" ht="75.95" customHeight="1">
      <c r="A13" s="11" t="s">
        <v>55</v>
      </c>
      <c r="B13" s="11" t="s">
        <v>17</v>
      </c>
      <c r="C13" s="11" t="s">
        <v>2426</v>
      </c>
      <c r="D13" s="11" t="s">
        <v>2427</v>
      </c>
      <c r="E13" s="11" t="s">
        <v>636</v>
      </c>
      <c r="F13" s="11" t="s">
        <v>59</v>
      </c>
      <c r="G13" s="11" t="s">
        <v>60</v>
      </c>
      <c r="H13" s="11" t="s">
        <v>194</v>
      </c>
      <c r="I13" s="11" t="s">
        <v>224</v>
      </c>
      <c r="J13" s="11" t="s">
        <v>637</v>
      </c>
      <c r="K13" s="11" t="s">
        <v>2428</v>
      </c>
      <c r="L13" s="12" t="s">
        <v>23</v>
      </c>
      <c r="M13" s="12" t="s">
        <v>67</v>
      </c>
      <c r="N13" s="11" t="s">
        <v>67</v>
      </c>
      <c r="O13" s="11" t="s">
        <v>68</v>
      </c>
      <c r="P13" s="11" t="s">
        <v>137</v>
      </c>
      <c r="Q13" s="11" t="s">
        <v>639</v>
      </c>
      <c r="R13" s="11" t="s">
        <v>67</v>
      </c>
      <c r="S13" s="11" t="s">
        <v>212</v>
      </c>
      <c r="T13" s="11" t="s">
        <v>2429</v>
      </c>
      <c r="U13" s="11" t="s">
        <v>1766</v>
      </c>
      <c r="V13" s="11" t="s">
        <v>2430</v>
      </c>
      <c r="W13" s="23" t="s">
        <v>67</v>
      </c>
      <c r="X13" s="13" t="s">
        <v>67</v>
      </c>
    </row>
    <row r="14" spans="1:24" ht="75.95" customHeight="1">
      <c r="A14" s="11" t="s">
        <v>55</v>
      </c>
      <c r="B14" s="11" t="s">
        <v>17</v>
      </c>
      <c r="C14" s="11" t="s">
        <v>2431</v>
      </c>
      <c r="D14" s="11" t="s">
        <v>2432</v>
      </c>
      <c r="E14" s="11" t="s">
        <v>636</v>
      </c>
      <c r="F14" s="11" t="s">
        <v>59</v>
      </c>
      <c r="G14" s="11" t="s">
        <v>60</v>
      </c>
      <c r="H14" s="11" t="s">
        <v>200</v>
      </c>
      <c r="I14" s="11" t="s">
        <v>2433</v>
      </c>
      <c r="J14" s="11" t="s">
        <v>644</v>
      </c>
      <c r="K14" s="11" t="s">
        <v>2434</v>
      </c>
      <c r="L14" s="12" t="s">
        <v>23</v>
      </c>
      <c r="M14" s="12" t="s">
        <v>67</v>
      </c>
      <c r="N14" s="11" t="s">
        <v>67</v>
      </c>
      <c r="O14" s="11" t="s">
        <v>68</v>
      </c>
      <c r="P14" s="11" t="s">
        <v>137</v>
      </c>
      <c r="Q14" s="11" t="s">
        <v>639</v>
      </c>
      <c r="R14" s="11" t="s">
        <v>67</v>
      </c>
      <c r="S14" s="11" t="s">
        <v>212</v>
      </c>
      <c r="T14" s="11" t="s">
        <v>2429</v>
      </c>
      <c r="U14" s="11" t="s">
        <v>1766</v>
      </c>
      <c r="V14" s="11" t="s">
        <v>2430</v>
      </c>
      <c r="W14" s="23" t="s">
        <v>67</v>
      </c>
      <c r="X14" s="13" t="s">
        <v>67</v>
      </c>
    </row>
    <row r="15" spans="1:24" ht="62.1" customHeight="1">
      <c r="A15" s="11" t="s">
        <v>55</v>
      </c>
      <c r="B15" s="11" t="s">
        <v>17</v>
      </c>
      <c r="C15" s="11" t="s">
        <v>2435</v>
      </c>
      <c r="D15" s="11" t="s">
        <v>2436</v>
      </c>
      <c r="E15" s="11" t="s">
        <v>610</v>
      </c>
      <c r="F15" s="11" t="s">
        <v>59</v>
      </c>
      <c r="G15" s="11" t="s">
        <v>60</v>
      </c>
      <c r="H15" s="11" t="s">
        <v>194</v>
      </c>
      <c r="I15" s="11" t="s">
        <v>383</v>
      </c>
      <c r="J15" s="11" t="s">
        <v>611</v>
      </c>
      <c r="K15" s="11" t="s">
        <v>2437</v>
      </c>
      <c r="L15" s="12" t="s">
        <v>23</v>
      </c>
      <c r="M15" s="12" t="s">
        <v>67</v>
      </c>
      <c r="N15" s="11" t="s">
        <v>67</v>
      </c>
      <c r="O15" s="11" t="s">
        <v>68</v>
      </c>
      <c r="P15" s="11">
        <v>1</v>
      </c>
      <c r="Q15" s="11" t="s">
        <v>123</v>
      </c>
      <c r="R15" s="11" t="s">
        <v>67</v>
      </c>
      <c r="S15" s="11" t="s">
        <v>212</v>
      </c>
      <c r="T15" s="11" t="s">
        <v>2438</v>
      </c>
      <c r="U15" s="11" t="s">
        <v>1766</v>
      </c>
      <c r="V15" s="11" t="s">
        <v>2439</v>
      </c>
      <c r="W15" s="23" t="s">
        <v>67</v>
      </c>
      <c r="X15" s="13" t="s">
        <v>67</v>
      </c>
    </row>
    <row r="16" spans="1:24" ht="62.1" customHeight="1">
      <c r="A16" s="11" t="s">
        <v>55</v>
      </c>
      <c r="B16" s="11" t="s">
        <v>17</v>
      </c>
      <c r="C16" s="11" t="s">
        <v>2440</v>
      </c>
      <c r="D16" s="11" t="s">
        <v>2441</v>
      </c>
      <c r="E16" s="11" t="s">
        <v>610</v>
      </c>
      <c r="F16" s="11" t="s">
        <v>59</v>
      </c>
      <c r="G16" s="11" t="s">
        <v>60</v>
      </c>
      <c r="H16" s="11" t="s">
        <v>200</v>
      </c>
      <c r="I16" s="11" t="s">
        <v>400</v>
      </c>
      <c r="J16" s="11" t="s">
        <v>2442</v>
      </c>
      <c r="K16" s="11" t="s">
        <v>2443</v>
      </c>
      <c r="L16" s="12" t="s">
        <v>23</v>
      </c>
      <c r="M16" s="12" t="s">
        <v>67</v>
      </c>
      <c r="N16" s="11" t="s">
        <v>67</v>
      </c>
      <c r="O16" s="11" t="s">
        <v>68</v>
      </c>
      <c r="P16" s="11">
        <v>1</v>
      </c>
      <c r="Q16" s="11" t="s">
        <v>123</v>
      </c>
      <c r="R16" s="11" t="s">
        <v>67</v>
      </c>
      <c r="S16" s="11" t="s">
        <v>212</v>
      </c>
      <c r="T16" s="11" t="s">
        <v>2438</v>
      </c>
      <c r="U16" s="11" t="s">
        <v>1766</v>
      </c>
      <c r="V16" s="11" t="s">
        <v>2439</v>
      </c>
      <c r="W16" s="23" t="s">
        <v>67</v>
      </c>
      <c r="X16" s="13" t="s">
        <v>67</v>
      </c>
    </row>
    <row r="17" spans="1:24" ht="62.1" customHeight="1">
      <c r="A17" s="11" t="s">
        <v>55</v>
      </c>
      <c r="B17" s="11" t="s">
        <v>17</v>
      </c>
      <c r="C17" s="11" t="s">
        <v>2444</v>
      </c>
      <c r="D17" s="11" t="s">
        <v>2445</v>
      </c>
      <c r="E17" s="11" t="s">
        <v>610</v>
      </c>
      <c r="F17" s="11" t="s">
        <v>59</v>
      </c>
      <c r="G17" s="11" t="s">
        <v>60</v>
      </c>
      <c r="H17" s="11" t="s">
        <v>234</v>
      </c>
      <c r="I17" s="11" t="s">
        <v>2446</v>
      </c>
      <c r="J17" s="11" t="s">
        <v>621</v>
      </c>
      <c r="K17" s="11" t="s">
        <v>2447</v>
      </c>
      <c r="L17" s="12" t="s">
        <v>23</v>
      </c>
      <c r="M17" s="12" t="s">
        <v>67</v>
      </c>
      <c r="N17" s="11" t="s">
        <v>67</v>
      </c>
      <c r="O17" s="11" t="s">
        <v>68</v>
      </c>
      <c r="P17" s="11">
        <v>1</v>
      </c>
      <c r="Q17" s="11" t="s">
        <v>123</v>
      </c>
      <c r="R17" s="11" t="s">
        <v>67</v>
      </c>
      <c r="S17" s="11" t="s">
        <v>212</v>
      </c>
      <c r="T17" s="11" t="s">
        <v>2438</v>
      </c>
      <c r="U17" s="11" t="s">
        <v>1766</v>
      </c>
      <c r="V17" s="11" t="s">
        <v>2439</v>
      </c>
      <c r="W17" s="23" t="s">
        <v>67</v>
      </c>
      <c r="X17" s="13" t="s">
        <v>67</v>
      </c>
    </row>
    <row r="18" spans="1:24" ht="48" customHeight="1">
      <c r="A18" s="11" t="s">
        <v>55</v>
      </c>
      <c r="B18" s="11" t="s">
        <v>17</v>
      </c>
      <c r="C18" s="11" t="s">
        <v>2448</v>
      </c>
      <c r="D18" s="11" t="s">
        <v>2449</v>
      </c>
      <c r="E18" s="11" t="s">
        <v>140</v>
      </c>
      <c r="F18" s="11" t="s">
        <v>59</v>
      </c>
      <c r="G18" s="11" t="s">
        <v>60</v>
      </c>
      <c r="H18" s="11" t="s">
        <v>61</v>
      </c>
      <c r="I18" s="11" t="s">
        <v>2450</v>
      </c>
      <c r="J18" s="11" t="s">
        <v>2451</v>
      </c>
      <c r="K18" s="11" t="s">
        <v>2452</v>
      </c>
      <c r="L18" s="12" t="s">
        <v>23</v>
      </c>
      <c r="M18" s="12" t="s">
        <v>67</v>
      </c>
      <c r="N18" s="11" t="s">
        <v>67</v>
      </c>
      <c r="O18" s="11" t="s">
        <v>68</v>
      </c>
      <c r="P18" s="11" t="s">
        <v>145</v>
      </c>
      <c r="Q18" s="11" t="s">
        <v>67</v>
      </c>
      <c r="R18" s="11" t="s">
        <v>67</v>
      </c>
      <c r="S18" s="11" t="s">
        <v>70</v>
      </c>
      <c r="T18" s="11" t="s">
        <v>2421</v>
      </c>
      <c r="U18" s="11" t="s">
        <v>2422</v>
      </c>
      <c r="V18" s="11" t="s">
        <v>2423</v>
      </c>
      <c r="W18" s="23" t="s">
        <v>67</v>
      </c>
      <c r="X18" s="13" t="s">
        <v>67</v>
      </c>
    </row>
    <row r="19" spans="1:24" ht="75.95" customHeight="1">
      <c r="A19" s="11" t="s">
        <v>55</v>
      </c>
      <c r="B19" s="11" t="s">
        <v>17</v>
      </c>
      <c r="C19" s="11" t="s">
        <v>2453</v>
      </c>
      <c r="D19" s="11" t="s">
        <v>2454</v>
      </c>
      <c r="E19" s="11" t="s">
        <v>140</v>
      </c>
      <c r="F19" s="11" t="s">
        <v>59</v>
      </c>
      <c r="G19" s="11" t="s">
        <v>60</v>
      </c>
      <c r="H19" s="11" t="s">
        <v>194</v>
      </c>
      <c r="I19" s="11" t="s">
        <v>224</v>
      </c>
      <c r="J19" s="11" t="s">
        <v>1036</v>
      </c>
      <c r="K19" s="11" t="s">
        <v>2455</v>
      </c>
      <c r="L19" s="12" t="s">
        <v>23</v>
      </c>
      <c r="M19" s="12" t="s">
        <v>67</v>
      </c>
      <c r="N19" s="11" t="s">
        <v>67</v>
      </c>
      <c r="O19" s="11" t="s">
        <v>68</v>
      </c>
      <c r="P19" s="11" t="s">
        <v>145</v>
      </c>
      <c r="Q19" s="11" t="s">
        <v>651</v>
      </c>
      <c r="R19" s="11" t="s">
        <v>67</v>
      </c>
      <c r="S19" s="11" t="s">
        <v>212</v>
      </c>
      <c r="T19" s="11" t="s">
        <v>67</v>
      </c>
      <c r="U19" s="11" t="s">
        <v>1766</v>
      </c>
      <c r="V19" s="11" t="s">
        <v>2456</v>
      </c>
      <c r="W19" s="23" t="s">
        <v>67</v>
      </c>
      <c r="X19" s="13" t="s">
        <v>67</v>
      </c>
    </row>
    <row r="20" spans="1:24" ht="48" customHeight="1">
      <c r="A20" s="11" t="s">
        <v>55</v>
      </c>
      <c r="B20" s="11" t="s">
        <v>17</v>
      </c>
      <c r="C20" s="11" t="s">
        <v>1120</v>
      </c>
      <c r="D20" s="11" t="s">
        <v>2457</v>
      </c>
      <c r="E20" s="11" t="s">
        <v>140</v>
      </c>
      <c r="F20" s="11" t="s">
        <v>59</v>
      </c>
      <c r="G20" s="11" t="s">
        <v>60</v>
      </c>
      <c r="H20" s="11" t="s">
        <v>194</v>
      </c>
      <c r="I20" s="11" t="s">
        <v>1035</v>
      </c>
      <c r="J20" s="11" t="s">
        <v>1036</v>
      </c>
      <c r="K20" s="11" t="s">
        <v>2458</v>
      </c>
      <c r="L20" s="12" t="s">
        <v>23</v>
      </c>
      <c r="M20" s="12" t="s">
        <v>67</v>
      </c>
      <c r="N20" s="11" t="s">
        <v>67</v>
      </c>
      <c r="O20" s="11" t="s">
        <v>68</v>
      </c>
      <c r="P20" s="11" t="s">
        <v>145</v>
      </c>
      <c r="Q20" s="11" t="s">
        <v>67</v>
      </c>
      <c r="R20" s="11" t="s">
        <v>67</v>
      </c>
      <c r="S20" s="11" t="s">
        <v>70</v>
      </c>
      <c r="T20" s="11" t="s">
        <v>2421</v>
      </c>
      <c r="U20" s="11" t="s">
        <v>2422</v>
      </c>
      <c r="V20" s="11" t="s">
        <v>2423</v>
      </c>
      <c r="W20" s="23" t="s">
        <v>67</v>
      </c>
      <c r="X20" s="13" t="s">
        <v>67</v>
      </c>
    </row>
    <row r="21" spans="1:24" ht="75.95" customHeight="1">
      <c r="A21" s="11" t="s">
        <v>55</v>
      </c>
      <c r="B21" s="11" t="s">
        <v>17</v>
      </c>
      <c r="C21" s="11" t="s">
        <v>2459</v>
      </c>
      <c r="D21" s="11" t="s">
        <v>2460</v>
      </c>
      <c r="E21" s="11" t="s">
        <v>140</v>
      </c>
      <c r="F21" s="11" t="s">
        <v>59</v>
      </c>
      <c r="G21" s="11" t="s">
        <v>60</v>
      </c>
      <c r="H21" s="11" t="s">
        <v>200</v>
      </c>
      <c r="I21" s="11" t="s">
        <v>2461</v>
      </c>
      <c r="J21" s="11" t="s">
        <v>1042</v>
      </c>
      <c r="K21" s="11" t="s">
        <v>2462</v>
      </c>
      <c r="L21" s="12" t="s">
        <v>23</v>
      </c>
      <c r="M21" s="12" t="s">
        <v>67</v>
      </c>
      <c r="N21" s="11" t="s">
        <v>67</v>
      </c>
      <c r="O21" s="11" t="s">
        <v>68</v>
      </c>
      <c r="P21" s="11" t="s">
        <v>145</v>
      </c>
      <c r="Q21" s="11" t="s">
        <v>651</v>
      </c>
      <c r="R21" s="11" t="s">
        <v>67</v>
      </c>
      <c r="S21" s="11" t="s">
        <v>212</v>
      </c>
      <c r="T21" s="11" t="s">
        <v>67</v>
      </c>
      <c r="U21" s="11" t="s">
        <v>1766</v>
      </c>
      <c r="V21" s="11" t="s">
        <v>2456</v>
      </c>
      <c r="W21" s="23" t="s">
        <v>67</v>
      </c>
      <c r="X21" s="13" t="s">
        <v>67</v>
      </c>
    </row>
    <row r="22" spans="1:24" ht="48" customHeight="1">
      <c r="A22" s="11" t="s">
        <v>55</v>
      </c>
      <c r="B22" s="11" t="s">
        <v>17</v>
      </c>
      <c r="C22" s="11" t="s">
        <v>2463</v>
      </c>
      <c r="D22" s="11" t="s">
        <v>2464</v>
      </c>
      <c r="E22" s="11" t="s">
        <v>140</v>
      </c>
      <c r="F22" s="11" t="s">
        <v>59</v>
      </c>
      <c r="G22" s="11" t="s">
        <v>60</v>
      </c>
      <c r="H22" s="11" t="s">
        <v>200</v>
      </c>
      <c r="I22" s="11" t="s">
        <v>2461</v>
      </c>
      <c r="J22" s="11" t="s">
        <v>1042</v>
      </c>
      <c r="K22" s="11" t="s">
        <v>2462</v>
      </c>
      <c r="L22" s="12" t="s">
        <v>23</v>
      </c>
      <c r="M22" s="12" t="s">
        <v>67</v>
      </c>
      <c r="N22" s="11" t="s">
        <v>67</v>
      </c>
      <c r="O22" s="11" t="s">
        <v>68</v>
      </c>
      <c r="P22" s="11" t="s">
        <v>145</v>
      </c>
      <c r="Q22" s="11" t="s">
        <v>67</v>
      </c>
      <c r="R22" s="11" t="s">
        <v>67</v>
      </c>
      <c r="S22" s="11" t="s">
        <v>70</v>
      </c>
      <c r="T22" s="11" t="s">
        <v>2421</v>
      </c>
      <c r="U22" s="11" t="s">
        <v>2422</v>
      </c>
      <c r="V22" s="11" t="s">
        <v>2423</v>
      </c>
      <c r="W22" s="23" t="s">
        <v>67</v>
      </c>
      <c r="X22" s="13" t="s">
        <v>67</v>
      </c>
    </row>
    <row r="23" spans="1:24" ht="48" customHeight="1">
      <c r="A23" s="11" t="s">
        <v>55</v>
      </c>
      <c r="B23" s="11" t="s">
        <v>17</v>
      </c>
      <c r="C23" s="11" t="s">
        <v>2465</v>
      </c>
      <c r="D23" s="11" t="s">
        <v>2466</v>
      </c>
      <c r="E23" s="11" t="s">
        <v>162</v>
      </c>
      <c r="F23" s="11" t="s">
        <v>59</v>
      </c>
      <c r="G23" s="11" t="s">
        <v>60</v>
      </c>
      <c r="H23" s="11" t="s">
        <v>61</v>
      </c>
      <c r="I23" s="11" t="s">
        <v>2467</v>
      </c>
      <c r="J23" s="11" t="s">
        <v>2468</v>
      </c>
      <c r="K23" s="11" t="s">
        <v>2469</v>
      </c>
      <c r="L23" s="12" t="s">
        <v>23</v>
      </c>
      <c r="M23" s="12" t="s">
        <v>67</v>
      </c>
      <c r="N23" s="11" t="s">
        <v>67</v>
      </c>
      <c r="O23" s="11" t="s">
        <v>68</v>
      </c>
      <c r="P23" s="11" t="s">
        <v>167</v>
      </c>
      <c r="Q23" s="11" t="s">
        <v>67</v>
      </c>
      <c r="R23" s="11" t="s">
        <v>67</v>
      </c>
      <c r="S23" s="11" t="s">
        <v>70</v>
      </c>
      <c r="T23" s="11" t="s">
        <v>2421</v>
      </c>
      <c r="U23" s="11" t="s">
        <v>2422</v>
      </c>
      <c r="V23" s="11" t="s">
        <v>2423</v>
      </c>
      <c r="W23" s="23" t="s">
        <v>67</v>
      </c>
      <c r="X23" s="13" t="s">
        <v>67</v>
      </c>
    </row>
    <row r="24" spans="1:24" ht="75.95" customHeight="1">
      <c r="A24" s="11" t="s">
        <v>55</v>
      </c>
      <c r="B24" s="11" t="s">
        <v>17</v>
      </c>
      <c r="C24" s="11" t="s">
        <v>2470</v>
      </c>
      <c r="D24" s="11" t="s">
        <v>2471</v>
      </c>
      <c r="E24" s="11" t="s">
        <v>162</v>
      </c>
      <c r="F24" s="11" t="s">
        <v>59</v>
      </c>
      <c r="G24" s="11" t="s">
        <v>60</v>
      </c>
      <c r="H24" s="11" t="s">
        <v>194</v>
      </c>
      <c r="I24" s="11" t="s">
        <v>383</v>
      </c>
      <c r="J24" s="11" t="s">
        <v>1048</v>
      </c>
      <c r="K24" s="11" t="s">
        <v>2472</v>
      </c>
      <c r="L24" s="12" t="s">
        <v>23</v>
      </c>
      <c r="M24" s="12" t="s">
        <v>67</v>
      </c>
      <c r="N24" s="11" t="s">
        <v>67</v>
      </c>
      <c r="O24" s="11" t="s">
        <v>68</v>
      </c>
      <c r="P24" s="11" t="s">
        <v>167</v>
      </c>
      <c r="Q24" s="11" t="s">
        <v>67</v>
      </c>
      <c r="R24" s="11" t="s">
        <v>67</v>
      </c>
      <c r="S24" s="11" t="s">
        <v>212</v>
      </c>
      <c r="T24" s="11" t="s">
        <v>67</v>
      </c>
      <c r="U24" s="11" t="s">
        <v>1766</v>
      </c>
      <c r="V24" s="11" t="s">
        <v>2473</v>
      </c>
      <c r="W24" s="23" t="s">
        <v>67</v>
      </c>
      <c r="X24" s="13" t="s">
        <v>67</v>
      </c>
    </row>
    <row r="25" spans="1:24" ht="48" customHeight="1">
      <c r="A25" s="11" t="s">
        <v>55</v>
      </c>
      <c r="B25" s="11" t="s">
        <v>17</v>
      </c>
      <c r="C25" s="11" t="s">
        <v>2474</v>
      </c>
      <c r="D25" s="11" t="s">
        <v>2475</v>
      </c>
      <c r="E25" s="11" t="s">
        <v>162</v>
      </c>
      <c r="F25" s="11" t="s">
        <v>59</v>
      </c>
      <c r="G25" s="11" t="s">
        <v>60</v>
      </c>
      <c r="H25" s="11" t="s">
        <v>194</v>
      </c>
      <c r="I25" s="11" t="s">
        <v>1047</v>
      </c>
      <c r="J25" s="11" t="s">
        <v>1048</v>
      </c>
      <c r="K25" s="11" t="s">
        <v>2472</v>
      </c>
      <c r="L25" s="12" t="s">
        <v>23</v>
      </c>
      <c r="M25" s="12" t="s">
        <v>67</v>
      </c>
      <c r="N25" s="11" t="s">
        <v>67</v>
      </c>
      <c r="O25" s="11" t="s">
        <v>68</v>
      </c>
      <c r="P25" s="11" t="s">
        <v>167</v>
      </c>
      <c r="Q25" s="11" t="s">
        <v>67</v>
      </c>
      <c r="R25" s="11" t="s">
        <v>67</v>
      </c>
      <c r="S25" s="11" t="s">
        <v>70</v>
      </c>
      <c r="T25" s="11" t="s">
        <v>2421</v>
      </c>
      <c r="U25" s="11" t="s">
        <v>2422</v>
      </c>
      <c r="V25" s="11" t="s">
        <v>2423</v>
      </c>
      <c r="W25" s="23" t="s">
        <v>67</v>
      </c>
      <c r="X25" s="13" t="s">
        <v>67</v>
      </c>
    </row>
    <row r="26" spans="1:24" ht="75.95" customHeight="1">
      <c r="A26" s="11" t="s">
        <v>55</v>
      </c>
      <c r="B26" s="11" t="s">
        <v>17</v>
      </c>
      <c r="C26" s="11" t="s">
        <v>2476</v>
      </c>
      <c r="D26" s="11" t="s">
        <v>2477</v>
      </c>
      <c r="E26" s="11" t="s">
        <v>162</v>
      </c>
      <c r="F26" s="11" t="s">
        <v>59</v>
      </c>
      <c r="G26" s="11" t="s">
        <v>60</v>
      </c>
      <c r="H26" s="11" t="s">
        <v>200</v>
      </c>
      <c r="I26" s="11" t="s">
        <v>2478</v>
      </c>
      <c r="J26" s="11" t="s">
        <v>1053</v>
      </c>
      <c r="K26" s="11" t="s">
        <v>2479</v>
      </c>
      <c r="L26" s="12" t="s">
        <v>23</v>
      </c>
      <c r="M26" s="12" t="s">
        <v>67</v>
      </c>
      <c r="N26" s="11" t="s">
        <v>67</v>
      </c>
      <c r="O26" s="11" t="s">
        <v>68</v>
      </c>
      <c r="P26" s="11" t="s">
        <v>167</v>
      </c>
      <c r="Q26" s="11" t="s">
        <v>67</v>
      </c>
      <c r="R26" s="11" t="s">
        <v>67</v>
      </c>
      <c r="S26" s="11" t="s">
        <v>212</v>
      </c>
      <c r="T26" s="11" t="s">
        <v>67</v>
      </c>
      <c r="U26" s="11" t="s">
        <v>1766</v>
      </c>
      <c r="V26" s="11" t="s">
        <v>2473</v>
      </c>
      <c r="W26" s="23" t="s">
        <v>67</v>
      </c>
      <c r="X26" s="13" t="s">
        <v>67</v>
      </c>
    </row>
    <row r="27" spans="1:24" ht="48" customHeight="1">
      <c r="A27" s="11" t="s">
        <v>55</v>
      </c>
      <c r="B27" s="11" t="s">
        <v>17</v>
      </c>
      <c r="C27" s="11" t="s">
        <v>2480</v>
      </c>
      <c r="D27" s="11" t="s">
        <v>2481</v>
      </c>
      <c r="E27" s="11" t="s">
        <v>162</v>
      </c>
      <c r="F27" s="11" t="s">
        <v>59</v>
      </c>
      <c r="G27" s="11" t="s">
        <v>60</v>
      </c>
      <c r="H27" s="11" t="s">
        <v>200</v>
      </c>
      <c r="I27" s="11" t="s">
        <v>2478</v>
      </c>
      <c r="J27" s="11" t="s">
        <v>1053</v>
      </c>
      <c r="K27" s="11" t="s">
        <v>2479</v>
      </c>
      <c r="L27" s="12" t="s">
        <v>23</v>
      </c>
      <c r="M27" s="12" t="s">
        <v>67</v>
      </c>
      <c r="N27" s="11" t="s">
        <v>67</v>
      </c>
      <c r="O27" s="11" t="s">
        <v>68</v>
      </c>
      <c r="P27" s="11" t="s">
        <v>167</v>
      </c>
      <c r="Q27" s="11" t="s">
        <v>67</v>
      </c>
      <c r="R27" s="11" t="s">
        <v>67</v>
      </c>
      <c r="S27" s="11" t="s">
        <v>70</v>
      </c>
      <c r="T27" s="11" t="s">
        <v>2421</v>
      </c>
      <c r="U27" s="11" t="s">
        <v>2422</v>
      </c>
      <c r="V27" s="11" t="s">
        <v>2423</v>
      </c>
      <c r="W27" s="23" t="s">
        <v>67</v>
      </c>
      <c r="X27" s="13" t="s">
        <v>67</v>
      </c>
    </row>
    <row r="28" spans="1:24" ht="90" customHeight="1">
      <c r="A28" s="11" t="s">
        <v>55</v>
      </c>
      <c r="B28" s="11" t="s">
        <v>17</v>
      </c>
      <c r="C28" s="11" t="s">
        <v>2482</v>
      </c>
      <c r="D28" s="11" t="s">
        <v>2483</v>
      </c>
      <c r="E28" s="11" t="s">
        <v>162</v>
      </c>
      <c r="F28" s="11" t="s">
        <v>59</v>
      </c>
      <c r="G28" s="11" t="s">
        <v>60</v>
      </c>
      <c r="H28" s="11" t="s">
        <v>234</v>
      </c>
      <c r="I28" s="11" t="s">
        <v>235</v>
      </c>
      <c r="J28" s="11" t="s">
        <v>67</v>
      </c>
      <c r="K28" s="11" t="s">
        <v>2484</v>
      </c>
      <c r="L28" s="12" t="s">
        <v>25</v>
      </c>
      <c r="M28" s="12" t="s">
        <v>67</v>
      </c>
      <c r="N28" s="11" t="s">
        <v>237</v>
      </c>
      <c r="O28" s="11" t="s">
        <v>68</v>
      </c>
      <c r="P28" s="11" t="s">
        <v>167</v>
      </c>
      <c r="Q28" s="11" t="s">
        <v>67</v>
      </c>
      <c r="R28" s="11" t="s">
        <v>67</v>
      </c>
      <c r="S28" s="11" t="s">
        <v>212</v>
      </c>
      <c r="T28" s="11" t="s">
        <v>67</v>
      </c>
      <c r="U28" s="11" t="s">
        <v>1766</v>
      </c>
      <c r="V28" s="11" t="s">
        <v>2473</v>
      </c>
      <c r="W28" s="23" t="s">
        <v>67</v>
      </c>
      <c r="X28" s="13" t="s">
        <v>67</v>
      </c>
    </row>
    <row r="29" spans="1:24" ht="75.95" customHeight="1">
      <c r="A29" s="11" t="s">
        <v>55</v>
      </c>
      <c r="B29" s="11" t="s">
        <v>17</v>
      </c>
      <c r="C29" s="11" t="s">
        <v>2485</v>
      </c>
      <c r="D29" s="11" t="s">
        <v>2486</v>
      </c>
      <c r="E29" s="11" t="s">
        <v>704</v>
      </c>
      <c r="F29" s="11" t="s">
        <v>59</v>
      </c>
      <c r="G29" s="11" t="s">
        <v>60</v>
      </c>
      <c r="H29" s="11" t="s">
        <v>194</v>
      </c>
      <c r="I29" s="11" t="s">
        <v>224</v>
      </c>
      <c r="J29" s="11" t="s">
        <v>706</v>
      </c>
      <c r="K29" s="11" t="s">
        <v>2487</v>
      </c>
      <c r="L29" s="12" t="s">
        <v>23</v>
      </c>
      <c r="M29" s="12" t="s">
        <v>67</v>
      </c>
      <c r="N29" s="11" t="s">
        <v>67</v>
      </c>
      <c r="O29" s="11" t="s">
        <v>68</v>
      </c>
      <c r="P29" s="11" t="s">
        <v>152</v>
      </c>
      <c r="Q29" s="11" t="s">
        <v>67</v>
      </c>
      <c r="R29" s="11" t="s">
        <v>67</v>
      </c>
      <c r="S29" s="11" t="s">
        <v>212</v>
      </c>
      <c r="T29" s="11" t="s">
        <v>67</v>
      </c>
      <c r="U29" s="11" t="s">
        <v>1766</v>
      </c>
      <c r="V29" s="11" t="s">
        <v>2488</v>
      </c>
      <c r="W29" s="23" t="s">
        <v>67</v>
      </c>
      <c r="X29" s="13" t="s">
        <v>67</v>
      </c>
    </row>
    <row r="30" spans="1:24" ht="75.95" customHeight="1">
      <c r="A30" s="11" t="s">
        <v>55</v>
      </c>
      <c r="B30" s="11" t="s">
        <v>17</v>
      </c>
      <c r="C30" s="11" t="s">
        <v>2489</v>
      </c>
      <c r="D30" s="11" t="s">
        <v>2490</v>
      </c>
      <c r="E30" s="11" t="s">
        <v>704</v>
      </c>
      <c r="F30" s="11" t="s">
        <v>59</v>
      </c>
      <c r="G30" s="11" t="s">
        <v>60</v>
      </c>
      <c r="H30" s="11" t="s">
        <v>200</v>
      </c>
      <c r="I30" s="11" t="s">
        <v>2491</v>
      </c>
      <c r="J30" s="11" t="s">
        <v>712</v>
      </c>
      <c r="K30" s="11" t="s">
        <v>2492</v>
      </c>
      <c r="L30" s="12" t="s">
        <v>23</v>
      </c>
      <c r="M30" s="12" t="s">
        <v>67</v>
      </c>
      <c r="N30" s="11" t="s">
        <v>67</v>
      </c>
      <c r="O30" s="11" t="s">
        <v>68</v>
      </c>
      <c r="P30" s="11" t="s">
        <v>152</v>
      </c>
      <c r="Q30" s="11" t="s">
        <v>67</v>
      </c>
      <c r="R30" s="11" t="s">
        <v>67</v>
      </c>
      <c r="S30" s="11" t="s">
        <v>212</v>
      </c>
      <c r="T30" s="11" t="s">
        <v>67</v>
      </c>
      <c r="U30" s="11" t="s">
        <v>1766</v>
      </c>
      <c r="V30" s="11" t="s">
        <v>2488</v>
      </c>
      <c r="W30" s="23" t="s">
        <v>67</v>
      </c>
      <c r="X30" s="13" t="s">
        <v>67</v>
      </c>
    </row>
    <row r="31" spans="1:24" ht="75.95" customHeight="1">
      <c r="A31" s="11" t="s">
        <v>55</v>
      </c>
      <c r="B31" s="11" t="s">
        <v>17</v>
      </c>
      <c r="C31" s="11" t="s">
        <v>2493</v>
      </c>
      <c r="D31" s="11" t="s">
        <v>2494</v>
      </c>
      <c r="E31" s="11" t="s">
        <v>689</v>
      </c>
      <c r="F31" s="11" t="s">
        <v>59</v>
      </c>
      <c r="G31" s="11" t="s">
        <v>60</v>
      </c>
      <c r="H31" s="11" t="s">
        <v>194</v>
      </c>
      <c r="I31" s="11" t="s">
        <v>224</v>
      </c>
      <c r="J31" s="11" t="s">
        <v>690</v>
      </c>
      <c r="K31" s="11" t="s">
        <v>2495</v>
      </c>
      <c r="L31" s="12" t="s">
        <v>23</v>
      </c>
      <c r="M31" s="12" t="s">
        <v>67</v>
      </c>
      <c r="N31" s="11" t="s">
        <v>67</v>
      </c>
      <c r="O31" s="11" t="s">
        <v>68</v>
      </c>
      <c r="P31" s="11" t="s">
        <v>692</v>
      </c>
      <c r="Q31" s="11" t="s">
        <v>67</v>
      </c>
      <c r="R31" s="11" t="s">
        <v>67</v>
      </c>
      <c r="S31" s="11" t="s">
        <v>212</v>
      </c>
      <c r="T31" s="11" t="s">
        <v>2496</v>
      </c>
      <c r="U31" s="11" t="s">
        <v>1766</v>
      </c>
      <c r="V31" s="11" t="s">
        <v>2497</v>
      </c>
      <c r="W31" s="23" t="s">
        <v>67</v>
      </c>
      <c r="X31" s="13" t="s">
        <v>67</v>
      </c>
    </row>
    <row r="32" spans="1:24" ht="75.95" customHeight="1">
      <c r="A32" s="11" t="s">
        <v>55</v>
      </c>
      <c r="B32" s="11" t="s">
        <v>17</v>
      </c>
      <c r="C32" s="11" t="s">
        <v>2498</v>
      </c>
      <c r="D32" s="11" t="s">
        <v>2499</v>
      </c>
      <c r="E32" s="11" t="s">
        <v>689</v>
      </c>
      <c r="F32" s="11" t="s">
        <v>59</v>
      </c>
      <c r="G32" s="11" t="s">
        <v>60</v>
      </c>
      <c r="H32" s="11" t="s">
        <v>200</v>
      </c>
      <c r="I32" s="11" t="s">
        <v>2500</v>
      </c>
      <c r="J32" s="11" t="s">
        <v>696</v>
      </c>
      <c r="K32" s="11" t="s">
        <v>2501</v>
      </c>
      <c r="L32" s="12" t="s">
        <v>23</v>
      </c>
      <c r="M32" s="12" t="s">
        <v>67</v>
      </c>
      <c r="N32" s="11" t="s">
        <v>67</v>
      </c>
      <c r="O32" s="11" t="s">
        <v>68</v>
      </c>
      <c r="P32" s="11" t="s">
        <v>692</v>
      </c>
      <c r="Q32" s="11" t="s">
        <v>67</v>
      </c>
      <c r="R32" s="11" t="s">
        <v>67</v>
      </c>
      <c r="S32" s="11" t="s">
        <v>212</v>
      </c>
      <c r="T32" s="11" t="s">
        <v>2496</v>
      </c>
      <c r="U32" s="11" t="s">
        <v>1766</v>
      </c>
      <c r="V32" s="11" t="s">
        <v>2497</v>
      </c>
      <c r="W32" s="23" t="s">
        <v>67</v>
      </c>
      <c r="X32" s="13" t="s">
        <v>67</v>
      </c>
    </row>
    <row r="33" spans="1:24" ht="104.1" customHeight="1">
      <c r="A33" s="11" t="s">
        <v>55</v>
      </c>
      <c r="B33" s="11" t="s">
        <v>17</v>
      </c>
      <c r="C33" s="11" t="s">
        <v>2502</v>
      </c>
      <c r="D33" s="11" t="s">
        <v>2503</v>
      </c>
      <c r="E33" s="11" t="s">
        <v>689</v>
      </c>
      <c r="F33" s="11" t="s">
        <v>59</v>
      </c>
      <c r="G33" s="11" t="s">
        <v>60</v>
      </c>
      <c r="H33" s="11" t="s">
        <v>234</v>
      </c>
      <c r="I33" s="11" t="s">
        <v>235</v>
      </c>
      <c r="J33" s="11" t="s">
        <v>67</v>
      </c>
      <c r="K33" s="11" t="s">
        <v>2504</v>
      </c>
      <c r="L33" s="12" t="s">
        <v>25</v>
      </c>
      <c r="M33" s="12" t="s">
        <v>67</v>
      </c>
      <c r="N33" s="11" t="s">
        <v>237</v>
      </c>
      <c r="O33" s="11" t="s">
        <v>68</v>
      </c>
      <c r="P33" s="11" t="s">
        <v>692</v>
      </c>
      <c r="Q33" s="11" t="s">
        <v>67</v>
      </c>
      <c r="R33" s="11" t="s">
        <v>67</v>
      </c>
      <c r="S33" s="11" t="s">
        <v>212</v>
      </c>
      <c r="T33" s="11" t="s">
        <v>2496</v>
      </c>
      <c r="U33" s="11" t="s">
        <v>1766</v>
      </c>
      <c r="V33" s="11" t="s">
        <v>2497</v>
      </c>
      <c r="W33" s="23" t="s">
        <v>67</v>
      </c>
      <c r="X33" s="13" t="s">
        <v>67</v>
      </c>
    </row>
    <row r="34" spans="1:24" ht="48" customHeight="1">
      <c r="A34" s="11" t="s">
        <v>55</v>
      </c>
      <c r="B34" s="11" t="s">
        <v>17</v>
      </c>
      <c r="C34" s="11" t="s">
        <v>2505</v>
      </c>
      <c r="D34" s="11" t="s">
        <v>2506</v>
      </c>
      <c r="E34" s="11" t="s">
        <v>148</v>
      </c>
      <c r="F34" s="11" t="s">
        <v>59</v>
      </c>
      <c r="G34" s="11" t="s">
        <v>60</v>
      </c>
      <c r="H34" s="11" t="s">
        <v>61</v>
      </c>
      <c r="I34" s="11" t="s">
        <v>2507</v>
      </c>
      <c r="J34" s="11" t="s">
        <v>2508</v>
      </c>
      <c r="K34" s="11" t="s">
        <v>2509</v>
      </c>
      <c r="L34" s="12" t="s">
        <v>23</v>
      </c>
      <c r="M34" s="12" t="s">
        <v>67</v>
      </c>
      <c r="N34" s="11" t="s">
        <v>67</v>
      </c>
      <c r="O34" s="11" t="s">
        <v>68</v>
      </c>
      <c r="P34" s="11" t="s">
        <v>152</v>
      </c>
      <c r="Q34" s="11" t="s">
        <v>67</v>
      </c>
      <c r="R34" s="11" t="s">
        <v>67</v>
      </c>
      <c r="S34" s="11" t="s">
        <v>70</v>
      </c>
      <c r="T34" s="11" t="s">
        <v>2421</v>
      </c>
      <c r="U34" s="11" t="s">
        <v>2422</v>
      </c>
      <c r="V34" s="11" t="s">
        <v>2423</v>
      </c>
      <c r="W34" s="23" t="s">
        <v>67</v>
      </c>
      <c r="X34" s="13" t="s">
        <v>67</v>
      </c>
    </row>
    <row r="35" spans="1:24" ht="75.95" customHeight="1">
      <c r="A35" s="11" t="s">
        <v>55</v>
      </c>
      <c r="B35" s="11" t="s">
        <v>17</v>
      </c>
      <c r="C35" s="11" t="s">
        <v>2510</v>
      </c>
      <c r="D35" s="11" t="s">
        <v>2511</v>
      </c>
      <c r="E35" s="11" t="s">
        <v>148</v>
      </c>
      <c r="F35" s="11" t="s">
        <v>59</v>
      </c>
      <c r="G35" s="11" t="s">
        <v>60</v>
      </c>
      <c r="H35" s="11" t="s">
        <v>194</v>
      </c>
      <c r="I35" s="11" t="s">
        <v>224</v>
      </c>
      <c r="J35" s="11" t="s">
        <v>1059</v>
      </c>
      <c r="K35" s="11" t="s">
        <v>2512</v>
      </c>
      <c r="L35" s="12" t="s">
        <v>23</v>
      </c>
      <c r="M35" s="12" t="s">
        <v>67</v>
      </c>
      <c r="N35" s="11" t="s">
        <v>67</v>
      </c>
      <c r="O35" s="11" t="s">
        <v>68</v>
      </c>
      <c r="P35" s="11" t="s">
        <v>152</v>
      </c>
      <c r="Q35" s="11" t="s">
        <v>661</v>
      </c>
      <c r="R35" s="11" t="s">
        <v>67</v>
      </c>
      <c r="S35" s="11" t="s">
        <v>212</v>
      </c>
      <c r="T35" s="11" t="s">
        <v>2513</v>
      </c>
      <c r="U35" s="11" t="s">
        <v>1766</v>
      </c>
      <c r="V35" s="11" t="s">
        <v>2514</v>
      </c>
      <c r="W35" s="23" t="s">
        <v>67</v>
      </c>
      <c r="X35" s="13" t="s">
        <v>67</v>
      </c>
    </row>
    <row r="36" spans="1:24" ht="48" customHeight="1">
      <c r="A36" s="11" t="s">
        <v>55</v>
      </c>
      <c r="B36" s="11" t="s">
        <v>17</v>
      </c>
      <c r="C36" s="11" t="s">
        <v>2515</v>
      </c>
      <c r="D36" s="11" t="s">
        <v>2516</v>
      </c>
      <c r="E36" s="11" t="s">
        <v>148</v>
      </c>
      <c r="F36" s="11" t="s">
        <v>59</v>
      </c>
      <c r="G36" s="11" t="s">
        <v>60</v>
      </c>
      <c r="H36" s="11" t="s">
        <v>194</v>
      </c>
      <c r="I36" s="11" t="s">
        <v>1058</v>
      </c>
      <c r="J36" s="11" t="s">
        <v>1059</v>
      </c>
      <c r="K36" s="11" t="s">
        <v>2517</v>
      </c>
      <c r="L36" s="12" t="s">
        <v>23</v>
      </c>
      <c r="M36" s="12" t="s">
        <v>67</v>
      </c>
      <c r="N36" s="11" t="s">
        <v>67</v>
      </c>
      <c r="O36" s="11" t="s">
        <v>68</v>
      </c>
      <c r="P36" s="11" t="s">
        <v>152</v>
      </c>
      <c r="Q36" s="11" t="s">
        <v>67</v>
      </c>
      <c r="R36" s="11" t="s">
        <v>67</v>
      </c>
      <c r="S36" s="11" t="s">
        <v>70</v>
      </c>
      <c r="T36" s="11" t="s">
        <v>2421</v>
      </c>
      <c r="U36" s="11" t="s">
        <v>2422</v>
      </c>
      <c r="V36" s="11" t="s">
        <v>2423</v>
      </c>
      <c r="W36" s="23" t="s">
        <v>67</v>
      </c>
      <c r="X36" s="13" t="s">
        <v>67</v>
      </c>
    </row>
    <row r="37" spans="1:24" ht="75.95" customHeight="1">
      <c r="A37" s="11" t="s">
        <v>55</v>
      </c>
      <c r="B37" s="11" t="s">
        <v>17</v>
      </c>
      <c r="C37" s="11" t="s">
        <v>2518</v>
      </c>
      <c r="D37" s="11" t="s">
        <v>2519</v>
      </c>
      <c r="E37" s="11" t="s">
        <v>148</v>
      </c>
      <c r="F37" s="11" t="s">
        <v>59</v>
      </c>
      <c r="G37" s="11" t="s">
        <v>60</v>
      </c>
      <c r="H37" s="11" t="s">
        <v>200</v>
      </c>
      <c r="I37" s="11" t="s">
        <v>2520</v>
      </c>
      <c r="J37" s="11" t="s">
        <v>1065</v>
      </c>
      <c r="K37" s="11" t="s">
        <v>2521</v>
      </c>
      <c r="L37" s="12" t="s">
        <v>23</v>
      </c>
      <c r="M37" s="12" t="s">
        <v>67</v>
      </c>
      <c r="N37" s="11" t="s">
        <v>67</v>
      </c>
      <c r="O37" s="11" t="s">
        <v>68</v>
      </c>
      <c r="P37" s="11" t="s">
        <v>152</v>
      </c>
      <c r="Q37" s="11" t="s">
        <v>661</v>
      </c>
      <c r="R37" s="11" t="s">
        <v>67</v>
      </c>
      <c r="S37" s="11" t="s">
        <v>212</v>
      </c>
      <c r="T37" s="11" t="s">
        <v>2513</v>
      </c>
      <c r="U37" s="11" t="s">
        <v>1766</v>
      </c>
      <c r="V37" s="11" t="s">
        <v>2514</v>
      </c>
      <c r="W37" s="23" t="s">
        <v>67</v>
      </c>
      <c r="X37" s="13" t="s">
        <v>67</v>
      </c>
    </row>
    <row r="38" spans="1:24" ht="48" customHeight="1">
      <c r="A38" s="11" t="s">
        <v>55</v>
      </c>
      <c r="B38" s="11" t="s">
        <v>17</v>
      </c>
      <c r="C38" s="11" t="s">
        <v>2522</v>
      </c>
      <c r="D38" s="11" t="s">
        <v>2523</v>
      </c>
      <c r="E38" s="11" t="s">
        <v>148</v>
      </c>
      <c r="F38" s="11" t="s">
        <v>59</v>
      </c>
      <c r="G38" s="11" t="s">
        <v>60</v>
      </c>
      <c r="H38" s="11" t="s">
        <v>200</v>
      </c>
      <c r="I38" s="11" t="s">
        <v>2520</v>
      </c>
      <c r="J38" s="11" t="s">
        <v>1065</v>
      </c>
      <c r="K38" s="11" t="s">
        <v>2521</v>
      </c>
      <c r="L38" s="12" t="s">
        <v>23</v>
      </c>
      <c r="M38" s="12" t="s">
        <v>67</v>
      </c>
      <c r="N38" s="11" t="s">
        <v>67</v>
      </c>
      <c r="O38" s="11" t="s">
        <v>68</v>
      </c>
      <c r="P38" s="11" t="s">
        <v>152</v>
      </c>
      <c r="Q38" s="11" t="s">
        <v>67</v>
      </c>
      <c r="R38" s="11" t="s">
        <v>67</v>
      </c>
      <c r="S38" s="11" t="s">
        <v>70</v>
      </c>
      <c r="T38" s="11" t="s">
        <v>2421</v>
      </c>
      <c r="U38" s="11" t="s">
        <v>2422</v>
      </c>
      <c r="V38" s="11" t="s">
        <v>2423</v>
      </c>
      <c r="W38" s="23" t="s">
        <v>67</v>
      </c>
      <c r="X38" s="13" t="s">
        <v>67</v>
      </c>
    </row>
    <row r="39" spans="1:24" ht="90" customHeight="1">
      <c r="A39" s="11" t="s">
        <v>55</v>
      </c>
      <c r="B39" s="11" t="s">
        <v>17</v>
      </c>
      <c r="C39" s="11" t="s">
        <v>2524</v>
      </c>
      <c r="D39" s="11" t="s">
        <v>2525</v>
      </c>
      <c r="E39" s="11" t="s">
        <v>148</v>
      </c>
      <c r="F39" s="11" t="s">
        <v>59</v>
      </c>
      <c r="G39" s="11" t="s">
        <v>60</v>
      </c>
      <c r="H39" s="11" t="s">
        <v>234</v>
      </c>
      <c r="I39" s="11" t="s">
        <v>235</v>
      </c>
      <c r="J39" s="11" t="s">
        <v>67</v>
      </c>
      <c r="K39" s="11" t="s">
        <v>2526</v>
      </c>
      <c r="L39" s="12" t="s">
        <v>25</v>
      </c>
      <c r="M39" s="12" t="s">
        <v>67</v>
      </c>
      <c r="N39" s="11" t="s">
        <v>237</v>
      </c>
      <c r="O39" s="11" t="s">
        <v>68</v>
      </c>
      <c r="P39" s="11" t="s">
        <v>152</v>
      </c>
      <c r="Q39" s="11" t="s">
        <v>661</v>
      </c>
      <c r="R39" s="11" t="s">
        <v>67</v>
      </c>
      <c r="S39" s="11" t="s">
        <v>212</v>
      </c>
      <c r="T39" s="11" t="s">
        <v>2513</v>
      </c>
      <c r="U39" s="11" t="s">
        <v>1766</v>
      </c>
      <c r="V39" s="11" t="s">
        <v>2514</v>
      </c>
      <c r="W39" s="23" t="s">
        <v>67</v>
      </c>
      <c r="X39" s="13" t="s">
        <v>67</v>
      </c>
    </row>
    <row r="40" spans="1:24" ht="48" customHeight="1">
      <c r="A40" s="11" t="s">
        <v>55</v>
      </c>
      <c r="B40" s="11" t="s">
        <v>17</v>
      </c>
      <c r="C40" s="11" t="s">
        <v>2527</v>
      </c>
      <c r="D40" s="11" t="s">
        <v>2528</v>
      </c>
      <c r="E40" s="11" t="s">
        <v>133</v>
      </c>
      <c r="F40" s="11" t="s">
        <v>59</v>
      </c>
      <c r="G40" s="11" t="s">
        <v>60</v>
      </c>
      <c r="H40" s="11" t="s">
        <v>61</v>
      </c>
      <c r="I40" s="11" t="s">
        <v>2529</v>
      </c>
      <c r="J40" s="11" t="s">
        <v>2530</v>
      </c>
      <c r="K40" s="11" t="s">
        <v>2531</v>
      </c>
      <c r="L40" s="12" t="s">
        <v>23</v>
      </c>
      <c r="M40" s="12" t="s">
        <v>67</v>
      </c>
      <c r="N40" s="11" t="s">
        <v>67</v>
      </c>
      <c r="O40" s="11" t="s">
        <v>68</v>
      </c>
      <c r="P40" s="11" t="s">
        <v>137</v>
      </c>
      <c r="Q40" s="11" t="s">
        <v>67</v>
      </c>
      <c r="R40" s="11" t="s">
        <v>67</v>
      </c>
      <c r="S40" s="11" t="s">
        <v>70</v>
      </c>
      <c r="T40" s="11" t="s">
        <v>2421</v>
      </c>
      <c r="U40" s="11" t="s">
        <v>2422</v>
      </c>
      <c r="V40" s="11" t="s">
        <v>2423</v>
      </c>
      <c r="W40" s="23" t="s">
        <v>67</v>
      </c>
      <c r="X40" s="13" t="s">
        <v>67</v>
      </c>
    </row>
    <row r="41" spans="1:24" ht="75.95" customHeight="1">
      <c r="A41" s="11" t="s">
        <v>55</v>
      </c>
      <c r="B41" s="11" t="s">
        <v>17</v>
      </c>
      <c r="C41" s="11" t="s">
        <v>2532</v>
      </c>
      <c r="D41" s="11" t="s">
        <v>2533</v>
      </c>
      <c r="E41" s="11" t="s">
        <v>133</v>
      </c>
      <c r="F41" s="11" t="s">
        <v>59</v>
      </c>
      <c r="G41" s="11" t="s">
        <v>60</v>
      </c>
      <c r="H41" s="11" t="s">
        <v>194</v>
      </c>
      <c r="I41" s="11" t="s">
        <v>224</v>
      </c>
      <c r="J41" s="11" t="s">
        <v>1071</v>
      </c>
      <c r="K41" s="11" t="s">
        <v>2534</v>
      </c>
      <c r="L41" s="12" t="s">
        <v>23</v>
      </c>
      <c r="M41" s="12" t="s">
        <v>67</v>
      </c>
      <c r="N41" s="11" t="s">
        <v>67</v>
      </c>
      <c r="O41" s="11" t="s">
        <v>68</v>
      </c>
      <c r="P41" s="11" t="s">
        <v>137</v>
      </c>
      <c r="Q41" s="11" t="s">
        <v>628</v>
      </c>
      <c r="R41" s="11" t="s">
        <v>67</v>
      </c>
      <c r="S41" s="11" t="s">
        <v>212</v>
      </c>
      <c r="T41" s="11" t="s">
        <v>2535</v>
      </c>
      <c r="U41" s="11" t="s">
        <v>1766</v>
      </c>
      <c r="V41" s="11" t="s">
        <v>2536</v>
      </c>
      <c r="W41" s="23" t="s">
        <v>67</v>
      </c>
      <c r="X41" s="13" t="s">
        <v>67</v>
      </c>
    </row>
    <row r="42" spans="1:24" ht="48" customHeight="1">
      <c r="A42" s="11" t="s">
        <v>55</v>
      </c>
      <c r="B42" s="11" t="s">
        <v>17</v>
      </c>
      <c r="C42" s="11" t="s">
        <v>2537</v>
      </c>
      <c r="D42" s="11" t="s">
        <v>2538</v>
      </c>
      <c r="E42" s="11" t="s">
        <v>133</v>
      </c>
      <c r="F42" s="11" t="s">
        <v>59</v>
      </c>
      <c r="G42" s="11" t="s">
        <v>60</v>
      </c>
      <c r="H42" s="11" t="s">
        <v>194</v>
      </c>
      <c r="I42" s="11" t="s">
        <v>1070</v>
      </c>
      <c r="J42" s="11" t="s">
        <v>1071</v>
      </c>
      <c r="K42" s="11" t="s">
        <v>2539</v>
      </c>
      <c r="L42" s="12" t="s">
        <v>23</v>
      </c>
      <c r="M42" s="12" t="s">
        <v>67</v>
      </c>
      <c r="N42" s="11" t="s">
        <v>67</v>
      </c>
      <c r="O42" s="11" t="s">
        <v>68</v>
      </c>
      <c r="P42" s="11" t="s">
        <v>137</v>
      </c>
      <c r="Q42" s="11" t="s">
        <v>67</v>
      </c>
      <c r="R42" s="11" t="s">
        <v>67</v>
      </c>
      <c r="S42" s="11" t="s">
        <v>70</v>
      </c>
      <c r="T42" s="11" t="s">
        <v>2421</v>
      </c>
      <c r="U42" s="11" t="s">
        <v>2422</v>
      </c>
      <c r="V42" s="11" t="s">
        <v>2423</v>
      </c>
      <c r="W42" s="23" t="s">
        <v>67</v>
      </c>
      <c r="X42" s="13" t="s">
        <v>67</v>
      </c>
    </row>
    <row r="43" spans="1:24" ht="75.95" customHeight="1">
      <c r="A43" s="11" t="s">
        <v>55</v>
      </c>
      <c r="B43" s="11" t="s">
        <v>17</v>
      </c>
      <c r="C43" s="11" t="s">
        <v>2540</v>
      </c>
      <c r="D43" s="11" t="s">
        <v>2541</v>
      </c>
      <c r="E43" s="11" t="s">
        <v>133</v>
      </c>
      <c r="F43" s="11" t="s">
        <v>59</v>
      </c>
      <c r="G43" s="11" t="s">
        <v>60</v>
      </c>
      <c r="H43" s="11" t="s">
        <v>200</v>
      </c>
      <c r="I43" s="11" t="s">
        <v>2542</v>
      </c>
      <c r="J43" s="11" t="s">
        <v>1077</v>
      </c>
      <c r="K43" s="11" t="s">
        <v>2543</v>
      </c>
      <c r="L43" s="12" t="s">
        <v>23</v>
      </c>
      <c r="M43" s="12" t="s">
        <v>67</v>
      </c>
      <c r="N43" s="11" t="s">
        <v>67</v>
      </c>
      <c r="O43" s="11" t="s">
        <v>68</v>
      </c>
      <c r="P43" s="11" t="s">
        <v>137</v>
      </c>
      <c r="Q43" s="11" t="s">
        <v>628</v>
      </c>
      <c r="R43" s="11" t="s">
        <v>67</v>
      </c>
      <c r="S43" s="11" t="s">
        <v>212</v>
      </c>
      <c r="T43" s="11" t="s">
        <v>2535</v>
      </c>
      <c r="U43" s="11" t="s">
        <v>1766</v>
      </c>
      <c r="V43" s="11" t="s">
        <v>2536</v>
      </c>
      <c r="W43" s="23" t="s">
        <v>67</v>
      </c>
      <c r="X43" s="13" t="s">
        <v>67</v>
      </c>
    </row>
    <row r="44" spans="1:24" ht="48" customHeight="1">
      <c r="A44" s="11" t="s">
        <v>55</v>
      </c>
      <c r="B44" s="11" t="s">
        <v>17</v>
      </c>
      <c r="C44" s="11" t="s">
        <v>2544</v>
      </c>
      <c r="D44" s="11" t="s">
        <v>2545</v>
      </c>
      <c r="E44" s="11" t="s">
        <v>133</v>
      </c>
      <c r="F44" s="11" t="s">
        <v>59</v>
      </c>
      <c r="G44" s="11" t="s">
        <v>60</v>
      </c>
      <c r="H44" s="11" t="s">
        <v>200</v>
      </c>
      <c r="I44" s="11" t="s">
        <v>2542</v>
      </c>
      <c r="J44" s="11" t="s">
        <v>1077</v>
      </c>
      <c r="K44" s="11" t="s">
        <v>2543</v>
      </c>
      <c r="L44" s="12" t="s">
        <v>23</v>
      </c>
      <c r="M44" s="12" t="s">
        <v>67</v>
      </c>
      <c r="N44" s="11" t="s">
        <v>67</v>
      </c>
      <c r="O44" s="11" t="s">
        <v>68</v>
      </c>
      <c r="P44" s="11" t="s">
        <v>137</v>
      </c>
      <c r="Q44" s="11" t="s">
        <v>67</v>
      </c>
      <c r="R44" s="11" t="s">
        <v>67</v>
      </c>
      <c r="S44" s="11" t="s">
        <v>70</v>
      </c>
      <c r="T44" s="11" t="s">
        <v>2421</v>
      </c>
      <c r="U44" s="11" t="s">
        <v>2422</v>
      </c>
      <c r="V44" s="11" t="s">
        <v>2423</v>
      </c>
      <c r="W44" s="23" t="s">
        <v>67</v>
      </c>
      <c r="X44" s="13" t="s">
        <v>67</v>
      </c>
    </row>
    <row r="45" spans="1:24" ht="48" customHeight="1">
      <c r="A45" s="11" t="s">
        <v>55</v>
      </c>
      <c r="B45" s="11" t="s">
        <v>17</v>
      </c>
      <c r="C45" s="11" t="s">
        <v>2546</v>
      </c>
      <c r="D45" s="11" t="s">
        <v>2547</v>
      </c>
      <c r="E45" s="11" t="s">
        <v>155</v>
      </c>
      <c r="F45" s="11" t="s">
        <v>59</v>
      </c>
      <c r="G45" s="11" t="s">
        <v>60</v>
      </c>
      <c r="H45" s="11" t="s">
        <v>61</v>
      </c>
      <c r="I45" s="11" t="s">
        <v>2548</v>
      </c>
      <c r="J45" s="11" t="s">
        <v>2549</v>
      </c>
      <c r="K45" s="11" t="s">
        <v>2550</v>
      </c>
      <c r="L45" s="12" t="s">
        <v>23</v>
      </c>
      <c r="M45" s="12" t="s">
        <v>67</v>
      </c>
      <c r="N45" s="11" t="s">
        <v>67</v>
      </c>
      <c r="O45" s="11" t="s">
        <v>68</v>
      </c>
      <c r="P45" s="11" t="s">
        <v>159</v>
      </c>
      <c r="Q45" s="11" t="s">
        <v>67</v>
      </c>
      <c r="R45" s="11" t="s">
        <v>67</v>
      </c>
      <c r="S45" s="11" t="s">
        <v>70</v>
      </c>
      <c r="T45" s="11" t="s">
        <v>2421</v>
      </c>
      <c r="U45" s="11" t="s">
        <v>2422</v>
      </c>
      <c r="V45" s="11" t="s">
        <v>2423</v>
      </c>
      <c r="W45" s="23" t="s">
        <v>67</v>
      </c>
      <c r="X45" s="13" t="s">
        <v>67</v>
      </c>
    </row>
    <row r="46" spans="1:24" ht="75.95" customHeight="1">
      <c r="A46" s="11" t="s">
        <v>55</v>
      </c>
      <c r="B46" s="11" t="s">
        <v>17</v>
      </c>
      <c r="C46" s="11" t="s">
        <v>2551</v>
      </c>
      <c r="D46" s="11" t="s">
        <v>2552</v>
      </c>
      <c r="E46" s="11" t="s">
        <v>155</v>
      </c>
      <c r="F46" s="11" t="s">
        <v>59</v>
      </c>
      <c r="G46" s="11" t="s">
        <v>60</v>
      </c>
      <c r="H46" s="11" t="s">
        <v>194</v>
      </c>
      <c r="I46" s="11" t="s">
        <v>224</v>
      </c>
      <c r="J46" s="11" t="s">
        <v>1083</v>
      </c>
      <c r="K46" s="11" t="s">
        <v>2553</v>
      </c>
      <c r="L46" s="12" t="s">
        <v>23</v>
      </c>
      <c r="M46" s="12" t="s">
        <v>67</v>
      </c>
      <c r="N46" s="11" t="s">
        <v>67</v>
      </c>
      <c r="O46" s="11" t="s">
        <v>68</v>
      </c>
      <c r="P46" s="11" t="s">
        <v>159</v>
      </c>
      <c r="Q46" s="11">
        <v>2156</v>
      </c>
      <c r="R46" s="11" t="s">
        <v>67</v>
      </c>
      <c r="S46" s="11" t="s">
        <v>212</v>
      </c>
      <c r="T46" s="11" t="s">
        <v>67</v>
      </c>
      <c r="U46" s="11" t="s">
        <v>1766</v>
      </c>
      <c r="V46" s="11" t="s">
        <v>2554</v>
      </c>
      <c r="W46" s="23" t="s">
        <v>67</v>
      </c>
      <c r="X46" s="13" t="s">
        <v>67</v>
      </c>
    </row>
    <row r="47" spans="1:24" ht="48" customHeight="1">
      <c r="A47" s="11" t="s">
        <v>55</v>
      </c>
      <c r="B47" s="11" t="s">
        <v>17</v>
      </c>
      <c r="C47" s="11" t="s">
        <v>2555</v>
      </c>
      <c r="D47" s="11" t="s">
        <v>2556</v>
      </c>
      <c r="E47" s="11" t="s">
        <v>155</v>
      </c>
      <c r="F47" s="11" t="s">
        <v>59</v>
      </c>
      <c r="G47" s="11" t="s">
        <v>60</v>
      </c>
      <c r="H47" s="11" t="s">
        <v>194</v>
      </c>
      <c r="I47" s="11" t="s">
        <v>1082</v>
      </c>
      <c r="J47" s="11" t="s">
        <v>1083</v>
      </c>
      <c r="K47" s="11" t="s">
        <v>2557</v>
      </c>
      <c r="L47" s="12" t="s">
        <v>23</v>
      </c>
      <c r="M47" s="12" t="s">
        <v>67</v>
      </c>
      <c r="N47" s="11" t="s">
        <v>67</v>
      </c>
      <c r="O47" s="11" t="s">
        <v>68</v>
      </c>
      <c r="P47" s="11" t="s">
        <v>159</v>
      </c>
      <c r="Q47" s="11" t="s">
        <v>67</v>
      </c>
      <c r="R47" s="11" t="s">
        <v>67</v>
      </c>
      <c r="S47" s="11" t="s">
        <v>70</v>
      </c>
      <c r="T47" s="11" t="s">
        <v>2421</v>
      </c>
      <c r="U47" s="11" t="s">
        <v>2422</v>
      </c>
      <c r="V47" s="11" t="s">
        <v>2423</v>
      </c>
      <c r="W47" s="23" t="s">
        <v>67</v>
      </c>
      <c r="X47" s="13" t="s">
        <v>67</v>
      </c>
    </row>
    <row r="48" spans="1:24" ht="75.95" customHeight="1">
      <c r="A48" s="11" t="s">
        <v>55</v>
      </c>
      <c r="B48" s="11" t="s">
        <v>17</v>
      </c>
      <c r="C48" s="11" t="s">
        <v>2558</v>
      </c>
      <c r="D48" s="11" t="s">
        <v>2559</v>
      </c>
      <c r="E48" s="11" t="s">
        <v>155</v>
      </c>
      <c r="F48" s="11" t="s">
        <v>59</v>
      </c>
      <c r="G48" s="11" t="s">
        <v>60</v>
      </c>
      <c r="H48" s="11" t="s">
        <v>200</v>
      </c>
      <c r="I48" s="11" t="s">
        <v>2560</v>
      </c>
      <c r="J48" s="11" t="s">
        <v>1088</v>
      </c>
      <c r="K48" s="11" t="s">
        <v>2561</v>
      </c>
      <c r="L48" s="12" t="s">
        <v>23</v>
      </c>
      <c r="M48" s="12" t="s">
        <v>67</v>
      </c>
      <c r="N48" s="11" t="s">
        <v>67</v>
      </c>
      <c r="O48" s="11" t="s">
        <v>68</v>
      </c>
      <c r="P48" s="11" t="s">
        <v>159</v>
      </c>
      <c r="Q48" s="11">
        <v>2156</v>
      </c>
      <c r="R48" s="11" t="s">
        <v>67</v>
      </c>
      <c r="S48" s="11" t="s">
        <v>212</v>
      </c>
      <c r="T48" s="11" t="s">
        <v>67</v>
      </c>
      <c r="U48" s="11" t="s">
        <v>1766</v>
      </c>
      <c r="V48" s="11" t="s">
        <v>2554</v>
      </c>
      <c r="W48" s="23" t="s">
        <v>67</v>
      </c>
      <c r="X48" s="13" t="s">
        <v>67</v>
      </c>
    </row>
    <row r="49" spans="1:24" ht="48" customHeight="1">
      <c r="A49" s="11" t="s">
        <v>55</v>
      </c>
      <c r="B49" s="11" t="s">
        <v>17</v>
      </c>
      <c r="C49" s="11" t="s">
        <v>2562</v>
      </c>
      <c r="D49" s="11" t="s">
        <v>2563</v>
      </c>
      <c r="E49" s="11" t="s">
        <v>155</v>
      </c>
      <c r="F49" s="11" t="s">
        <v>59</v>
      </c>
      <c r="G49" s="11" t="s">
        <v>60</v>
      </c>
      <c r="H49" s="11" t="s">
        <v>200</v>
      </c>
      <c r="I49" s="11" t="s">
        <v>2560</v>
      </c>
      <c r="J49" s="11" t="s">
        <v>1088</v>
      </c>
      <c r="K49" s="11" t="s">
        <v>2561</v>
      </c>
      <c r="L49" s="12" t="s">
        <v>23</v>
      </c>
      <c r="M49" s="12" t="s">
        <v>67</v>
      </c>
      <c r="N49" s="11" t="s">
        <v>67</v>
      </c>
      <c r="O49" s="11" t="s">
        <v>68</v>
      </c>
      <c r="P49" s="11" t="s">
        <v>159</v>
      </c>
      <c r="Q49" s="11" t="s">
        <v>67</v>
      </c>
      <c r="R49" s="11" t="s">
        <v>67</v>
      </c>
      <c r="S49" s="11" t="s">
        <v>70</v>
      </c>
      <c r="T49" s="11" t="s">
        <v>2421</v>
      </c>
      <c r="U49" s="11" t="s">
        <v>2422</v>
      </c>
      <c r="V49" s="11" t="s">
        <v>2423</v>
      </c>
      <c r="W49" s="23" t="s">
        <v>67</v>
      </c>
      <c r="X49" s="13" t="s">
        <v>67</v>
      </c>
    </row>
    <row r="50" spans="1:24" ht="75.95" customHeight="1">
      <c r="A50" s="11" t="s">
        <v>55</v>
      </c>
      <c r="B50" s="11" t="s">
        <v>17</v>
      </c>
      <c r="C50" s="11" t="s">
        <v>2564</v>
      </c>
      <c r="D50" s="11" t="s">
        <v>2565</v>
      </c>
      <c r="E50" s="11" t="s">
        <v>155</v>
      </c>
      <c r="F50" s="11" t="s">
        <v>59</v>
      </c>
      <c r="G50" s="11" t="s">
        <v>60</v>
      </c>
      <c r="H50" s="11" t="s">
        <v>234</v>
      </c>
      <c r="I50" s="11" t="s">
        <v>235</v>
      </c>
      <c r="J50" s="11" t="s">
        <v>67</v>
      </c>
      <c r="K50" s="11" t="s">
        <v>2566</v>
      </c>
      <c r="L50" s="12" t="s">
        <v>25</v>
      </c>
      <c r="M50" s="12" t="s">
        <v>67</v>
      </c>
      <c r="N50" s="11" t="s">
        <v>237</v>
      </c>
      <c r="O50" s="11" t="s">
        <v>68</v>
      </c>
      <c r="P50" s="11" t="s">
        <v>159</v>
      </c>
      <c r="Q50" s="11">
        <v>2156</v>
      </c>
      <c r="R50" s="11" t="s">
        <v>67</v>
      </c>
      <c r="S50" s="11" t="s">
        <v>212</v>
      </c>
      <c r="T50" s="11" t="s">
        <v>67</v>
      </c>
      <c r="U50" s="11" t="s">
        <v>1766</v>
      </c>
      <c r="V50" s="11" t="s">
        <v>2554</v>
      </c>
      <c r="W50" s="23" t="s">
        <v>67</v>
      </c>
      <c r="X50" s="13" t="s">
        <v>67</v>
      </c>
    </row>
    <row r="51" spans="1:24" ht="33.950000000000003" customHeight="1">
      <c r="A51" s="11" t="s">
        <v>55</v>
      </c>
      <c r="B51" s="11" t="s">
        <v>17</v>
      </c>
      <c r="C51" s="11" t="s">
        <v>2567</v>
      </c>
      <c r="D51" s="11" t="s">
        <v>2568</v>
      </c>
      <c r="E51" s="11" t="s">
        <v>88</v>
      </c>
      <c r="F51" s="11" t="s">
        <v>59</v>
      </c>
      <c r="G51" s="11" t="s">
        <v>60</v>
      </c>
      <c r="H51" s="11" t="s">
        <v>61</v>
      </c>
      <c r="I51" s="11" t="s">
        <v>2569</v>
      </c>
      <c r="J51" s="11" t="s">
        <v>90</v>
      </c>
      <c r="K51" s="11" t="s">
        <v>2570</v>
      </c>
      <c r="L51" s="12" t="s">
        <v>23</v>
      </c>
      <c r="M51" s="12" t="s">
        <v>67</v>
      </c>
      <c r="N51" s="11" t="s">
        <v>67</v>
      </c>
      <c r="O51" s="11" t="s">
        <v>92</v>
      </c>
      <c r="P51" s="11" t="s">
        <v>67</v>
      </c>
      <c r="Q51" s="11" t="s">
        <v>67</v>
      </c>
      <c r="R51" s="11" t="s">
        <v>67</v>
      </c>
      <c r="S51" s="11" t="s">
        <v>70</v>
      </c>
      <c r="T51" s="11" t="s">
        <v>2421</v>
      </c>
      <c r="U51" s="11" t="s">
        <v>2422</v>
      </c>
      <c r="V51" s="11" t="s">
        <v>2423</v>
      </c>
      <c r="W51" s="23" t="s">
        <v>67</v>
      </c>
      <c r="X51" s="13" t="s">
        <v>67</v>
      </c>
    </row>
    <row r="52" spans="1:24" ht="62.1" customHeight="1">
      <c r="A52" s="11" t="s">
        <v>55</v>
      </c>
      <c r="B52" s="11" t="s">
        <v>17</v>
      </c>
      <c r="C52" s="11" t="s">
        <v>2571</v>
      </c>
      <c r="D52" s="11" t="s">
        <v>2572</v>
      </c>
      <c r="E52" s="11" t="s">
        <v>88</v>
      </c>
      <c r="F52" s="11" t="s">
        <v>59</v>
      </c>
      <c r="G52" s="11" t="s">
        <v>60</v>
      </c>
      <c r="H52" s="11" t="s">
        <v>194</v>
      </c>
      <c r="I52" s="11" t="s">
        <v>2573</v>
      </c>
      <c r="J52" s="11" t="s">
        <v>337</v>
      </c>
      <c r="K52" s="11" t="s">
        <v>2574</v>
      </c>
      <c r="L52" s="12" t="s">
        <v>23</v>
      </c>
      <c r="M52" s="12" t="s">
        <v>67</v>
      </c>
      <c r="N52" s="11" t="s">
        <v>67</v>
      </c>
      <c r="O52" s="11" t="s">
        <v>92</v>
      </c>
      <c r="P52" s="11" t="s">
        <v>67</v>
      </c>
      <c r="Q52" s="11" t="s">
        <v>67</v>
      </c>
      <c r="R52" s="11" t="s">
        <v>67</v>
      </c>
      <c r="S52" s="11" t="s">
        <v>70</v>
      </c>
      <c r="T52" s="11" t="s">
        <v>2575</v>
      </c>
      <c r="U52" s="11" t="s">
        <v>2422</v>
      </c>
      <c r="V52" s="11" t="s">
        <v>2576</v>
      </c>
      <c r="W52" s="23" t="s">
        <v>67</v>
      </c>
      <c r="X52" s="13" t="s">
        <v>67</v>
      </c>
    </row>
    <row r="53" spans="1:24" ht="33.950000000000003" customHeight="1">
      <c r="A53" s="11" t="s">
        <v>55</v>
      </c>
      <c r="B53" s="11" t="s">
        <v>17</v>
      </c>
      <c r="C53" s="11" t="s">
        <v>2577</v>
      </c>
      <c r="D53" s="11" t="s">
        <v>2578</v>
      </c>
      <c r="E53" s="11" t="s">
        <v>88</v>
      </c>
      <c r="F53" s="11" t="s">
        <v>59</v>
      </c>
      <c r="G53" s="11" t="s">
        <v>60</v>
      </c>
      <c r="H53" s="11" t="s">
        <v>200</v>
      </c>
      <c r="I53" s="11" t="s">
        <v>341</v>
      </c>
      <c r="J53" s="11" t="s">
        <v>2579</v>
      </c>
      <c r="K53" s="11" t="s">
        <v>2580</v>
      </c>
      <c r="L53" s="12" t="s">
        <v>23</v>
      </c>
      <c r="M53" s="12" t="s">
        <v>67</v>
      </c>
      <c r="N53" s="11" t="s">
        <v>67</v>
      </c>
      <c r="O53" s="11" t="s">
        <v>92</v>
      </c>
      <c r="P53" s="11">
        <v>10</v>
      </c>
      <c r="Q53" s="11" t="s">
        <v>343</v>
      </c>
      <c r="R53" s="11" t="s">
        <v>67</v>
      </c>
      <c r="S53" s="11" t="s">
        <v>212</v>
      </c>
      <c r="T53" s="11" t="s">
        <v>2581</v>
      </c>
      <c r="U53" s="11" t="s">
        <v>1766</v>
      </c>
      <c r="V53" s="11" t="s">
        <v>2582</v>
      </c>
      <c r="W53" s="23" t="s">
        <v>67</v>
      </c>
      <c r="X53" s="13" t="s">
        <v>67</v>
      </c>
    </row>
    <row r="54" spans="1:24" ht="48" customHeight="1">
      <c r="A54" s="11" t="s">
        <v>55</v>
      </c>
      <c r="B54" s="11" t="s">
        <v>17</v>
      </c>
      <c r="C54" s="11" t="s">
        <v>2583</v>
      </c>
      <c r="D54" s="11" t="s">
        <v>2584</v>
      </c>
      <c r="E54" s="11" t="s">
        <v>88</v>
      </c>
      <c r="F54" s="11" t="s">
        <v>59</v>
      </c>
      <c r="G54" s="11" t="s">
        <v>60</v>
      </c>
      <c r="H54" s="11" t="s">
        <v>346</v>
      </c>
      <c r="I54" s="11" t="s">
        <v>2585</v>
      </c>
      <c r="J54" s="11" t="s">
        <v>348</v>
      </c>
      <c r="K54" s="11" t="s">
        <v>2586</v>
      </c>
      <c r="L54" s="12" t="s">
        <v>23</v>
      </c>
      <c r="M54" s="12" t="s">
        <v>67</v>
      </c>
      <c r="N54" s="11" t="s">
        <v>67</v>
      </c>
      <c r="O54" s="11" t="s">
        <v>92</v>
      </c>
      <c r="P54" s="11">
        <v>10</v>
      </c>
      <c r="Q54" s="11" t="s">
        <v>343</v>
      </c>
      <c r="R54" s="11" t="s">
        <v>67</v>
      </c>
      <c r="S54" s="11" t="s">
        <v>212</v>
      </c>
      <c r="T54" s="11" t="s">
        <v>2581</v>
      </c>
      <c r="U54" s="11" t="s">
        <v>1766</v>
      </c>
      <c r="V54" s="11" t="s">
        <v>2582</v>
      </c>
      <c r="W54" s="23" t="s">
        <v>67</v>
      </c>
      <c r="X54" s="13" t="s">
        <v>67</v>
      </c>
    </row>
    <row r="55" spans="1:24" ht="48" customHeight="1">
      <c r="A55" s="11" t="s">
        <v>55</v>
      </c>
      <c r="B55" s="11" t="s">
        <v>17</v>
      </c>
      <c r="C55" s="11" t="s">
        <v>2587</v>
      </c>
      <c r="D55" s="11" t="s">
        <v>2588</v>
      </c>
      <c r="E55" s="11" t="s">
        <v>352</v>
      </c>
      <c r="F55" s="11" t="s">
        <v>59</v>
      </c>
      <c r="G55" s="11" t="s">
        <v>60</v>
      </c>
      <c r="H55" s="11" t="s">
        <v>194</v>
      </c>
      <c r="I55" s="11" t="s">
        <v>410</v>
      </c>
      <c r="J55" s="11" t="s">
        <v>354</v>
      </c>
      <c r="K55" s="11" t="s">
        <v>2589</v>
      </c>
      <c r="L55" s="12" t="s">
        <v>23</v>
      </c>
      <c r="M55" s="12" t="s">
        <v>67</v>
      </c>
      <c r="N55" s="11" t="s">
        <v>67</v>
      </c>
      <c r="O55" s="11" t="s">
        <v>92</v>
      </c>
      <c r="P55" s="11">
        <v>10</v>
      </c>
      <c r="Q55" s="11" t="s">
        <v>343</v>
      </c>
      <c r="R55" s="11" t="s">
        <v>67</v>
      </c>
      <c r="S55" s="11" t="s">
        <v>212</v>
      </c>
      <c r="T55" s="11" t="s">
        <v>2590</v>
      </c>
      <c r="U55" s="11" t="s">
        <v>1766</v>
      </c>
      <c r="V55" s="11" t="s">
        <v>2591</v>
      </c>
      <c r="W55" s="23" t="s">
        <v>67</v>
      </c>
      <c r="X55" s="13" t="s">
        <v>67</v>
      </c>
    </row>
    <row r="56" spans="1:24" ht="33.950000000000003" customHeight="1">
      <c r="A56" s="11" t="s">
        <v>55</v>
      </c>
      <c r="B56" s="11" t="s">
        <v>17</v>
      </c>
      <c r="C56" s="11" t="s">
        <v>2592</v>
      </c>
      <c r="D56" s="11" t="s">
        <v>2593</v>
      </c>
      <c r="E56" s="11" t="s">
        <v>352</v>
      </c>
      <c r="F56" s="11" t="s">
        <v>59</v>
      </c>
      <c r="G56" s="11" t="s">
        <v>60</v>
      </c>
      <c r="H56" s="11" t="s">
        <v>200</v>
      </c>
      <c r="I56" s="11" t="s">
        <v>341</v>
      </c>
      <c r="J56" s="11" t="s">
        <v>2594</v>
      </c>
      <c r="K56" s="11" t="s">
        <v>2595</v>
      </c>
      <c r="L56" s="12" t="s">
        <v>23</v>
      </c>
      <c r="M56" s="12" t="s">
        <v>67</v>
      </c>
      <c r="N56" s="11" t="s">
        <v>67</v>
      </c>
      <c r="O56" s="11" t="s">
        <v>92</v>
      </c>
      <c r="P56" s="11">
        <v>10</v>
      </c>
      <c r="Q56" s="11" t="s">
        <v>343</v>
      </c>
      <c r="R56" s="11" t="s">
        <v>67</v>
      </c>
      <c r="S56" s="11" t="s">
        <v>212</v>
      </c>
      <c r="T56" s="11" t="s">
        <v>2590</v>
      </c>
      <c r="U56" s="11" t="s">
        <v>1766</v>
      </c>
      <c r="V56" s="11" t="s">
        <v>2591</v>
      </c>
      <c r="W56" s="23" t="s">
        <v>67</v>
      </c>
      <c r="X56" s="13" t="s">
        <v>67</v>
      </c>
    </row>
    <row r="57" spans="1:24" ht="48" customHeight="1">
      <c r="A57" s="11" t="s">
        <v>55</v>
      </c>
      <c r="B57" s="11" t="s">
        <v>17</v>
      </c>
      <c r="C57" s="11" t="s">
        <v>2596</v>
      </c>
      <c r="D57" s="11" t="s">
        <v>2597</v>
      </c>
      <c r="E57" s="11" t="s">
        <v>352</v>
      </c>
      <c r="F57" s="11" t="s">
        <v>59</v>
      </c>
      <c r="G57" s="11" t="s">
        <v>60</v>
      </c>
      <c r="H57" s="11" t="s">
        <v>346</v>
      </c>
      <c r="I57" s="11" t="s">
        <v>2598</v>
      </c>
      <c r="J57" s="11" t="s">
        <v>362</v>
      </c>
      <c r="K57" s="11" t="s">
        <v>2599</v>
      </c>
      <c r="L57" s="12" t="s">
        <v>23</v>
      </c>
      <c r="M57" s="12" t="s">
        <v>67</v>
      </c>
      <c r="N57" s="11" t="s">
        <v>67</v>
      </c>
      <c r="O57" s="11" t="s">
        <v>92</v>
      </c>
      <c r="P57" s="11">
        <v>10</v>
      </c>
      <c r="Q57" s="11" t="s">
        <v>343</v>
      </c>
      <c r="R57" s="11" t="s">
        <v>67</v>
      </c>
      <c r="S57" s="11" t="s">
        <v>212</v>
      </c>
      <c r="T57" s="11" t="s">
        <v>2590</v>
      </c>
      <c r="U57" s="11" t="s">
        <v>1766</v>
      </c>
      <c r="V57" s="11" t="s">
        <v>2591</v>
      </c>
      <c r="W57" s="23" t="s">
        <v>67</v>
      </c>
      <c r="X57" s="13" t="s">
        <v>67</v>
      </c>
    </row>
    <row r="58" spans="1:24" ht="48" customHeight="1">
      <c r="A58" s="11" t="s">
        <v>55</v>
      </c>
      <c r="B58" s="11" t="s">
        <v>17</v>
      </c>
      <c r="C58" s="11" t="s">
        <v>2600</v>
      </c>
      <c r="D58" s="11" t="s">
        <v>2601</v>
      </c>
      <c r="E58" s="11" t="s">
        <v>178</v>
      </c>
      <c r="F58" s="11" t="s">
        <v>59</v>
      </c>
      <c r="G58" s="11" t="s">
        <v>60</v>
      </c>
      <c r="H58" s="11" t="s">
        <v>61</v>
      </c>
      <c r="I58" s="11" t="s">
        <v>2602</v>
      </c>
      <c r="J58" s="11" t="s">
        <v>2603</v>
      </c>
      <c r="K58" s="11" t="s">
        <v>2604</v>
      </c>
      <c r="L58" s="12" t="s">
        <v>23</v>
      </c>
      <c r="M58" s="12" t="s">
        <v>67</v>
      </c>
      <c r="N58" s="11" t="s">
        <v>67</v>
      </c>
      <c r="O58" s="11" t="s">
        <v>68</v>
      </c>
      <c r="P58" s="11" t="s">
        <v>183</v>
      </c>
      <c r="Q58" s="11" t="s">
        <v>67</v>
      </c>
      <c r="R58" s="11" t="s">
        <v>67</v>
      </c>
      <c r="S58" s="11" t="s">
        <v>70</v>
      </c>
      <c r="T58" s="11" t="s">
        <v>2421</v>
      </c>
      <c r="U58" s="11" t="s">
        <v>2422</v>
      </c>
      <c r="V58" s="11" t="s">
        <v>2423</v>
      </c>
      <c r="W58" s="23" t="s">
        <v>67</v>
      </c>
      <c r="X58" s="13" t="s">
        <v>67</v>
      </c>
    </row>
    <row r="59" spans="1:24" ht="62.1" customHeight="1">
      <c r="A59" s="11" t="s">
        <v>55</v>
      </c>
      <c r="B59" s="11" t="s">
        <v>17</v>
      </c>
      <c r="C59" s="11" t="s">
        <v>2605</v>
      </c>
      <c r="D59" s="11" t="s">
        <v>2606</v>
      </c>
      <c r="E59" s="11" t="s">
        <v>178</v>
      </c>
      <c r="F59" s="11" t="s">
        <v>59</v>
      </c>
      <c r="G59" s="11" t="s">
        <v>60</v>
      </c>
      <c r="H59" s="11" t="s">
        <v>194</v>
      </c>
      <c r="I59" s="11" t="s">
        <v>949</v>
      </c>
      <c r="J59" s="11" t="s">
        <v>1094</v>
      </c>
      <c r="K59" s="11" t="s">
        <v>2607</v>
      </c>
      <c r="L59" s="12" t="s">
        <v>23</v>
      </c>
      <c r="M59" s="12" t="s">
        <v>67</v>
      </c>
      <c r="N59" s="11" t="s">
        <v>67</v>
      </c>
      <c r="O59" s="11" t="s">
        <v>68</v>
      </c>
      <c r="P59" s="11" t="s">
        <v>183</v>
      </c>
      <c r="Q59" s="11" t="s">
        <v>747</v>
      </c>
      <c r="R59" s="11" t="s">
        <v>67</v>
      </c>
      <c r="S59" s="11" t="s">
        <v>212</v>
      </c>
      <c r="T59" s="11" t="s">
        <v>67</v>
      </c>
      <c r="U59" s="11" t="s">
        <v>1766</v>
      </c>
      <c r="V59" s="11" t="s">
        <v>2608</v>
      </c>
      <c r="W59" s="23" t="s">
        <v>67</v>
      </c>
      <c r="X59" s="13" t="s">
        <v>67</v>
      </c>
    </row>
    <row r="60" spans="1:24" ht="48" customHeight="1">
      <c r="A60" s="11" t="s">
        <v>55</v>
      </c>
      <c r="B60" s="11" t="s">
        <v>17</v>
      </c>
      <c r="C60" s="11" t="s">
        <v>2609</v>
      </c>
      <c r="D60" s="11" t="s">
        <v>2610</v>
      </c>
      <c r="E60" s="11" t="s">
        <v>178</v>
      </c>
      <c r="F60" s="11" t="s">
        <v>59</v>
      </c>
      <c r="G60" s="11" t="s">
        <v>60</v>
      </c>
      <c r="H60" s="11" t="s">
        <v>194</v>
      </c>
      <c r="I60" s="11" t="s">
        <v>1093</v>
      </c>
      <c r="J60" s="11" t="s">
        <v>1094</v>
      </c>
      <c r="K60" s="11" t="s">
        <v>2607</v>
      </c>
      <c r="L60" s="12" t="s">
        <v>23</v>
      </c>
      <c r="M60" s="12" t="s">
        <v>67</v>
      </c>
      <c r="N60" s="11" t="s">
        <v>67</v>
      </c>
      <c r="O60" s="11" t="s">
        <v>68</v>
      </c>
      <c r="P60" s="11" t="s">
        <v>183</v>
      </c>
      <c r="Q60" s="11" t="s">
        <v>67</v>
      </c>
      <c r="R60" s="11" t="s">
        <v>67</v>
      </c>
      <c r="S60" s="11" t="s">
        <v>70</v>
      </c>
      <c r="T60" s="11" t="s">
        <v>2421</v>
      </c>
      <c r="U60" s="11" t="s">
        <v>2422</v>
      </c>
      <c r="V60" s="11" t="s">
        <v>2423</v>
      </c>
      <c r="W60" s="23" t="s">
        <v>67</v>
      </c>
      <c r="X60" s="13" t="s">
        <v>67</v>
      </c>
    </row>
    <row r="61" spans="1:24" ht="62.1" customHeight="1">
      <c r="A61" s="11" t="s">
        <v>55</v>
      </c>
      <c r="B61" s="11" t="s">
        <v>17</v>
      </c>
      <c r="C61" s="11" t="s">
        <v>2611</v>
      </c>
      <c r="D61" s="11" t="s">
        <v>2612</v>
      </c>
      <c r="E61" s="11" t="s">
        <v>178</v>
      </c>
      <c r="F61" s="11" t="s">
        <v>59</v>
      </c>
      <c r="G61" s="11" t="s">
        <v>60</v>
      </c>
      <c r="H61" s="11" t="s">
        <v>200</v>
      </c>
      <c r="I61" s="11" t="s">
        <v>2613</v>
      </c>
      <c r="J61" s="11" t="s">
        <v>1100</v>
      </c>
      <c r="K61" s="11" t="s">
        <v>2614</v>
      </c>
      <c r="L61" s="12" t="s">
        <v>23</v>
      </c>
      <c r="M61" s="12" t="s">
        <v>67</v>
      </c>
      <c r="N61" s="11" t="s">
        <v>67</v>
      </c>
      <c r="O61" s="11" t="s">
        <v>68</v>
      </c>
      <c r="P61" s="11" t="s">
        <v>183</v>
      </c>
      <c r="Q61" s="11" t="s">
        <v>747</v>
      </c>
      <c r="R61" s="11" t="s">
        <v>67</v>
      </c>
      <c r="S61" s="11" t="s">
        <v>212</v>
      </c>
      <c r="T61" s="11" t="s">
        <v>67</v>
      </c>
      <c r="U61" s="11" t="s">
        <v>1766</v>
      </c>
      <c r="V61" s="11" t="s">
        <v>2608</v>
      </c>
      <c r="W61" s="23" t="s">
        <v>67</v>
      </c>
      <c r="X61" s="13" t="s">
        <v>67</v>
      </c>
    </row>
    <row r="62" spans="1:24" ht="48" customHeight="1">
      <c r="A62" s="11" t="s">
        <v>55</v>
      </c>
      <c r="B62" s="11" t="s">
        <v>17</v>
      </c>
      <c r="C62" s="11" t="s">
        <v>2615</v>
      </c>
      <c r="D62" s="11" t="s">
        <v>2616</v>
      </c>
      <c r="E62" s="11" t="s">
        <v>178</v>
      </c>
      <c r="F62" s="11" t="s">
        <v>59</v>
      </c>
      <c r="G62" s="11" t="s">
        <v>60</v>
      </c>
      <c r="H62" s="11" t="s">
        <v>200</v>
      </c>
      <c r="I62" s="11" t="s">
        <v>2613</v>
      </c>
      <c r="J62" s="11" t="s">
        <v>1100</v>
      </c>
      <c r="K62" s="11" t="s">
        <v>2614</v>
      </c>
      <c r="L62" s="12" t="s">
        <v>23</v>
      </c>
      <c r="M62" s="12" t="s">
        <v>67</v>
      </c>
      <c r="N62" s="11" t="s">
        <v>67</v>
      </c>
      <c r="O62" s="11" t="s">
        <v>68</v>
      </c>
      <c r="P62" s="11" t="s">
        <v>183</v>
      </c>
      <c r="Q62" s="11" t="s">
        <v>67</v>
      </c>
      <c r="R62" s="11" t="s">
        <v>67</v>
      </c>
      <c r="S62" s="11" t="s">
        <v>70</v>
      </c>
      <c r="T62" s="11" t="s">
        <v>2421</v>
      </c>
      <c r="U62" s="11" t="s">
        <v>2422</v>
      </c>
      <c r="V62" s="11" t="s">
        <v>2423</v>
      </c>
      <c r="W62" s="23" t="s">
        <v>67</v>
      </c>
      <c r="X62" s="13" t="s">
        <v>67</v>
      </c>
    </row>
    <row r="63" spans="1:24" ht="48" customHeight="1">
      <c r="A63" s="11" t="s">
        <v>55</v>
      </c>
      <c r="B63" s="11" t="s">
        <v>17</v>
      </c>
      <c r="C63" s="11" t="s">
        <v>2617</v>
      </c>
      <c r="D63" s="11" t="s">
        <v>2618</v>
      </c>
      <c r="E63" s="11" t="s">
        <v>170</v>
      </c>
      <c r="F63" s="11" t="s">
        <v>59</v>
      </c>
      <c r="G63" s="11" t="s">
        <v>60</v>
      </c>
      <c r="H63" s="11" t="s">
        <v>61</v>
      </c>
      <c r="I63" s="11" t="s">
        <v>2619</v>
      </c>
      <c r="J63" s="11" t="s">
        <v>2620</v>
      </c>
      <c r="K63" s="11" t="s">
        <v>2621</v>
      </c>
      <c r="L63" s="12" t="s">
        <v>23</v>
      </c>
      <c r="M63" s="12" t="s">
        <v>67</v>
      </c>
      <c r="N63" s="11" t="s">
        <v>67</v>
      </c>
      <c r="O63" s="11" t="s">
        <v>68</v>
      </c>
      <c r="P63" s="11" t="s">
        <v>67</v>
      </c>
      <c r="Q63" s="11" t="s">
        <v>175</v>
      </c>
      <c r="R63" s="11" t="s">
        <v>67</v>
      </c>
      <c r="S63" s="11" t="s">
        <v>70</v>
      </c>
      <c r="T63" s="11" t="s">
        <v>2622</v>
      </c>
      <c r="U63" s="11" t="s">
        <v>2422</v>
      </c>
      <c r="V63" s="11" t="s">
        <v>2423</v>
      </c>
      <c r="W63" s="23" t="s">
        <v>67</v>
      </c>
      <c r="X63" s="13" t="s">
        <v>67</v>
      </c>
    </row>
    <row r="64" spans="1:24" ht="62.1" customHeight="1">
      <c r="A64" s="11" t="s">
        <v>55</v>
      </c>
      <c r="B64" s="11" t="s">
        <v>17</v>
      </c>
      <c r="C64" s="11" t="s">
        <v>2623</v>
      </c>
      <c r="D64" s="11" t="s">
        <v>2624</v>
      </c>
      <c r="E64" s="11" t="s">
        <v>170</v>
      </c>
      <c r="F64" s="11" t="s">
        <v>59</v>
      </c>
      <c r="G64" s="11" t="s">
        <v>60</v>
      </c>
      <c r="H64" s="11" t="s">
        <v>194</v>
      </c>
      <c r="I64" s="11" t="s">
        <v>383</v>
      </c>
      <c r="J64" s="11" t="s">
        <v>731</v>
      </c>
      <c r="K64" s="11" t="s">
        <v>2625</v>
      </c>
      <c r="L64" s="12" t="s">
        <v>23</v>
      </c>
      <c r="M64" s="12" t="s">
        <v>67</v>
      </c>
      <c r="N64" s="11" t="s">
        <v>67</v>
      </c>
      <c r="O64" s="11" t="s">
        <v>68</v>
      </c>
      <c r="P64" s="11">
        <v>1</v>
      </c>
      <c r="Q64" s="11" t="s">
        <v>175</v>
      </c>
      <c r="R64" s="11" t="s">
        <v>67</v>
      </c>
      <c r="S64" s="11" t="s">
        <v>212</v>
      </c>
      <c r="T64" s="11" t="s">
        <v>67</v>
      </c>
      <c r="U64" s="11" t="s">
        <v>1766</v>
      </c>
      <c r="V64" s="11" t="s">
        <v>2626</v>
      </c>
      <c r="W64" s="23" t="s">
        <v>67</v>
      </c>
      <c r="X64" s="13" t="s">
        <v>67</v>
      </c>
    </row>
    <row r="65" spans="1:24" ht="48" customHeight="1">
      <c r="A65" s="11" t="s">
        <v>55</v>
      </c>
      <c r="B65" s="11" t="s">
        <v>17</v>
      </c>
      <c r="C65" s="11" t="s">
        <v>2627</v>
      </c>
      <c r="D65" s="11" t="s">
        <v>2628</v>
      </c>
      <c r="E65" s="11" t="s">
        <v>170</v>
      </c>
      <c r="F65" s="11" t="s">
        <v>59</v>
      </c>
      <c r="G65" s="11" t="s">
        <v>60</v>
      </c>
      <c r="H65" s="11" t="s">
        <v>194</v>
      </c>
      <c r="I65" s="11" t="s">
        <v>1104</v>
      </c>
      <c r="J65" s="11" t="s">
        <v>731</v>
      </c>
      <c r="K65" s="11" t="s">
        <v>2625</v>
      </c>
      <c r="L65" s="12" t="s">
        <v>23</v>
      </c>
      <c r="M65" s="12" t="s">
        <v>67</v>
      </c>
      <c r="N65" s="11" t="s">
        <v>67</v>
      </c>
      <c r="O65" s="11" t="s">
        <v>68</v>
      </c>
      <c r="P65" s="11" t="s">
        <v>67</v>
      </c>
      <c r="Q65" s="11" t="s">
        <v>175</v>
      </c>
      <c r="R65" s="11" t="s">
        <v>67</v>
      </c>
      <c r="S65" s="11" t="s">
        <v>70</v>
      </c>
      <c r="T65" s="11" t="s">
        <v>2622</v>
      </c>
      <c r="U65" s="11" t="s">
        <v>2422</v>
      </c>
      <c r="V65" s="11" t="s">
        <v>2423</v>
      </c>
      <c r="W65" s="23" t="s">
        <v>67</v>
      </c>
      <c r="X65" s="13" t="s">
        <v>67</v>
      </c>
    </row>
    <row r="66" spans="1:24" ht="62.1" customHeight="1">
      <c r="A66" s="11" t="s">
        <v>55</v>
      </c>
      <c r="B66" s="11" t="s">
        <v>17</v>
      </c>
      <c r="C66" s="11" t="s">
        <v>2629</v>
      </c>
      <c r="D66" s="11" t="s">
        <v>2630</v>
      </c>
      <c r="E66" s="11" t="s">
        <v>170</v>
      </c>
      <c r="F66" s="11" t="s">
        <v>59</v>
      </c>
      <c r="G66" s="11" t="s">
        <v>60</v>
      </c>
      <c r="H66" s="11" t="s">
        <v>200</v>
      </c>
      <c r="I66" s="11" t="s">
        <v>400</v>
      </c>
      <c r="J66" s="11" t="s">
        <v>2631</v>
      </c>
      <c r="K66" s="11" t="s">
        <v>2632</v>
      </c>
      <c r="L66" s="12" t="s">
        <v>23</v>
      </c>
      <c r="M66" s="12" t="s">
        <v>67</v>
      </c>
      <c r="N66" s="11" t="s">
        <v>67</v>
      </c>
      <c r="O66" s="11" t="s">
        <v>68</v>
      </c>
      <c r="P66" s="11">
        <v>1</v>
      </c>
      <c r="Q66" s="11" t="s">
        <v>175</v>
      </c>
      <c r="R66" s="11" t="s">
        <v>67</v>
      </c>
      <c r="S66" s="11" t="s">
        <v>212</v>
      </c>
      <c r="T66" s="11" t="s">
        <v>67</v>
      </c>
      <c r="U66" s="11" t="s">
        <v>1766</v>
      </c>
      <c r="V66" s="11" t="s">
        <v>2626</v>
      </c>
      <c r="W66" s="23" t="s">
        <v>67</v>
      </c>
      <c r="X66" s="13" t="s">
        <v>67</v>
      </c>
    </row>
    <row r="67" spans="1:24" ht="62.1" customHeight="1">
      <c r="A67" s="11" t="s">
        <v>55</v>
      </c>
      <c r="B67" s="11" t="s">
        <v>17</v>
      </c>
      <c r="C67" s="11" t="s">
        <v>2633</v>
      </c>
      <c r="D67" s="11" t="s">
        <v>2634</v>
      </c>
      <c r="E67" s="11" t="s">
        <v>170</v>
      </c>
      <c r="F67" s="11" t="s">
        <v>59</v>
      </c>
      <c r="G67" s="11" t="s">
        <v>60</v>
      </c>
      <c r="H67" s="11" t="s">
        <v>234</v>
      </c>
      <c r="I67" s="11" t="s">
        <v>2635</v>
      </c>
      <c r="J67" s="11" t="s">
        <v>741</v>
      </c>
      <c r="K67" s="11" t="s">
        <v>2636</v>
      </c>
      <c r="L67" s="12" t="s">
        <v>23</v>
      </c>
      <c r="M67" s="12" t="s">
        <v>67</v>
      </c>
      <c r="N67" s="11" t="s">
        <v>67</v>
      </c>
      <c r="O67" s="11" t="s">
        <v>68</v>
      </c>
      <c r="P67" s="11">
        <v>1</v>
      </c>
      <c r="Q67" s="11" t="s">
        <v>175</v>
      </c>
      <c r="R67" s="11" t="s">
        <v>67</v>
      </c>
      <c r="S67" s="11" t="s">
        <v>212</v>
      </c>
      <c r="T67" s="11" t="s">
        <v>67</v>
      </c>
      <c r="U67" s="11" t="s">
        <v>1766</v>
      </c>
      <c r="V67" s="11" t="s">
        <v>2626</v>
      </c>
      <c r="W67" s="23" t="s">
        <v>67</v>
      </c>
      <c r="X67" s="13" t="s">
        <v>67</v>
      </c>
    </row>
    <row r="68" spans="1:24" ht="48" customHeight="1">
      <c r="A68" s="11" t="s">
        <v>55</v>
      </c>
      <c r="B68" s="11" t="s">
        <v>17</v>
      </c>
      <c r="C68" s="11" t="s">
        <v>2637</v>
      </c>
      <c r="D68" s="11" t="s">
        <v>2638</v>
      </c>
      <c r="E68" s="11" t="s">
        <v>170</v>
      </c>
      <c r="F68" s="11" t="s">
        <v>59</v>
      </c>
      <c r="G68" s="11" t="s">
        <v>60</v>
      </c>
      <c r="H68" s="11" t="s">
        <v>234</v>
      </c>
      <c r="I68" s="11" t="s">
        <v>2635</v>
      </c>
      <c r="J68" s="11" t="s">
        <v>741</v>
      </c>
      <c r="K68" s="11" t="s">
        <v>2636</v>
      </c>
      <c r="L68" s="12" t="s">
        <v>23</v>
      </c>
      <c r="M68" s="12" t="s">
        <v>67</v>
      </c>
      <c r="N68" s="11" t="s">
        <v>67</v>
      </c>
      <c r="O68" s="11" t="s">
        <v>68</v>
      </c>
      <c r="P68" s="11" t="s">
        <v>67</v>
      </c>
      <c r="Q68" s="11" t="s">
        <v>175</v>
      </c>
      <c r="R68" s="11" t="s">
        <v>67</v>
      </c>
      <c r="S68" s="11" t="s">
        <v>70</v>
      </c>
      <c r="T68" s="11" t="s">
        <v>2622</v>
      </c>
      <c r="U68" s="11" t="s">
        <v>2422</v>
      </c>
      <c r="V68" s="11" t="s">
        <v>2423</v>
      </c>
      <c r="W68" s="23" t="s">
        <v>67</v>
      </c>
      <c r="X68" s="13" t="s">
        <v>67</v>
      </c>
    </row>
    <row r="69" spans="1:24" ht="33.950000000000003" customHeight="1">
      <c r="A69" s="11" t="s">
        <v>55</v>
      </c>
      <c r="B69" s="11" t="s">
        <v>17</v>
      </c>
      <c r="C69" s="11" t="s">
        <v>2639</v>
      </c>
      <c r="D69" s="11" t="s">
        <v>2640</v>
      </c>
      <c r="E69" s="11" t="s">
        <v>81</v>
      </c>
      <c r="F69" s="11" t="s">
        <v>59</v>
      </c>
      <c r="G69" s="11" t="s">
        <v>60</v>
      </c>
      <c r="H69" s="11" t="s">
        <v>61</v>
      </c>
      <c r="I69" s="11" t="s">
        <v>2641</v>
      </c>
      <c r="J69" s="11" t="s">
        <v>83</v>
      </c>
      <c r="K69" s="11" t="s">
        <v>2642</v>
      </c>
      <c r="L69" s="12" t="s">
        <v>23</v>
      </c>
      <c r="M69" s="12" t="s">
        <v>67</v>
      </c>
      <c r="N69" s="11" t="s">
        <v>67</v>
      </c>
      <c r="O69" s="11" t="s">
        <v>68</v>
      </c>
      <c r="P69" s="11" t="s">
        <v>2643</v>
      </c>
      <c r="Q69" s="11" t="s">
        <v>67</v>
      </c>
      <c r="R69" s="11" t="s">
        <v>67</v>
      </c>
      <c r="S69" s="11" t="s">
        <v>70</v>
      </c>
      <c r="T69" s="11" t="s">
        <v>2421</v>
      </c>
      <c r="U69" s="11" t="s">
        <v>2422</v>
      </c>
      <c r="V69" s="11" t="s">
        <v>2423</v>
      </c>
      <c r="W69" s="23" t="s">
        <v>67</v>
      </c>
      <c r="X69" s="13" t="s">
        <v>67</v>
      </c>
    </row>
    <row r="70" spans="1:24" ht="62.1" customHeight="1">
      <c r="A70" s="11" t="s">
        <v>55</v>
      </c>
      <c r="B70" s="11" t="s">
        <v>17</v>
      </c>
      <c r="C70" s="11" t="s">
        <v>2644</v>
      </c>
      <c r="D70" s="11" t="s">
        <v>2645</v>
      </c>
      <c r="E70" s="11" t="s">
        <v>81</v>
      </c>
      <c r="F70" s="11" t="s">
        <v>59</v>
      </c>
      <c r="G70" s="11" t="s">
        <v>60</v>
      </c>
      <c r="H70" s="11" t="s">
        <v>194</v>
      </c>
      <c r="I70" s="11" t="s">
        <v>262</v>
      </c>
      <c r="J70" s="11" t="s">
        <v>263</v>
      </c>
      <c r="K70" s="11" t="s">
        <v>2646</v>
      </c>
      <c r="L70" s="12" t="s">
        <v>23</v>
      </c>
      <c r="M70" s="12" t="s">
        <v>67</v>
      </c>
      <c r="N70" s="11" t="s">
        <v>67</v>
      </c>
      <c r="O70" s="11" t="s">
        <v>68</v>
      </c>
      <c r="P70" s="11" t="s">
        <v>2643</v>
      </c>
      <c r="Q70" s="11" t="s">
        <v>67</v>
      </c>
      <c r="R70" s="11" t="s">
        <v>67</v>
      </c>
      <c r="S70" s="11" t="s">
        <v>70</v>
      </c>
      <c r="T70" s="11" t="s">
        <v>2647</v>
      </c>
      <c r="U70" s="11" t="s">
        <v>2422</v>
      </c>
      <c r="V70" s="11" t="s">
        <v>2648</v>
      </c>
      <c r="W70" s="23" t="s">
        <v>67</v>
      </c>
      <c r="X70" s="13" t="s">
        <v>67</v>
      </c>
    </row>
    <row r="71" spans="1:24" ht="62.1" customHeight="1">
      <c r="A71" s="11" t="s">
        <v>55</v>
      </c>
      <c r="B71" s="11" t="s">
        <v>17</v>
      </c>
      <c r="C71" s="11" t="s">
        <v>2649</v>
      </c>
      <c r="D71" s="11" t="s">
        <v>2650</v>
      </c>
      <c r="E71" s="11" t="s">
        <v>81</v>
      </c>
      <c r="F71" s="11" t="s">
        <v>59</v>
      </c>
      <c r="G71" s="11" t="s">
        <v>60</v>
      </c>
      <c r="H71" s="11" t="s">
        <v>200</v>
      </c>
      <c r="I71" s="11" t="s">
        <v>2651</v>
      </c>
      <c r="J71" s="11" t="s">
        <v>2652</v>
      </c>
      <c r="K71" s="11" t="s">
        <v>2653</v>
      </c>
      <c r="L71" s="12" t="s">
        <v>23</v>
      </c>
      <c r="M71" s="12" t="s">
        <v>67</v>
      </c>
      <c r="N71" s="11" t="s">
        <v>67</v>
      </c>
      <c r="O71" s="11" t="s">
        <v>68</v>
      </c>
      <c r="P71" s="11" t="s">
        <v>2643</v>
      </c>
      <c r="Q71" s="11" t="s">
        <v>67</v>
      </c>
      <c r="R71" s="11" t="s">
        <v>67</v>
      </c>
      <c r="S71" s="11" t="s">
        <v>70</v>
      </c>
      <c r="T71" s="11" t="s">
        <v>2647</v>
      </c>
      <c r="U71" s="11" t="s">
        <v>2422</v>
      </c>
      <c r="V71" s="11" t="s">
        <v>2648</v>
      </c>
      <c r="W71" s="23" t="s">
        <v>67</v>
      </c>
      <c r="X71" s="13" t="s">
        <v>67</v>
      </c>
    </row>
    <row r="72" spans="1:24" ht="48" customHeight="1">
      <c r="A72" s="11" t="s">
        <v>55</v>
      </c>
      <c r="B72" s="11" t="s">
        <v>17</v>
      </c>
      <c r="C72" s="11" t="s">
        <v>2654</v>
      </c>
      <c r="D72" s="11" t="s">
        <v>2655</v>
      </c>
      <c r="E72" s="11" t="s">
        <v>382</v>
      </c>
      <c r="F72" s="11" t="s">
        <v>59</v>
      </c>
      <c r="G72" s="11" t="s">
        <v>60</v>
      </c>
      <c r="H72" s="11" t="s">
        <v>194</v>
      </c>
      <c r="I72" s="11" t="s">
        <v>383</v>
      </c>
      <c r="J72" s="11" t="s">
        <v>384</v>
      </c>
      <c r="K72" s="11" t="s">
        <v>2656</v>
      </c>
      <c r="L72" s="12" t="s">
        <v>23</v>
      </c>
      <c r="M72" s="12" t="s">
        <v>67</v>
      </c>
      <c r="N72" s="11" t="s">
        <v>67</v>
      </c>
      <c r="O72" s="11" t="s">
        <v>68</v>
      </c>
      <c r="P72" s="11">
        <v>1</v>
      </c>
      <c r="Q72" s="11" t="s">
        <v>386</v>
      </c>
      <c r="R72" s="11" t="s">
        <v>67</v>
      </c>
      <c r="S72" s="11" t="s">
        <v>212</v>
      </c>
      <c r="T72" s="11" t="s">
        <v>2657</v>
      </c>
      <c r="U72" s="11" t="s">
        <v>1766</v>
      </c>
      <c r="V72" s="11" t="s">
        <v>2658</v>
      </c>
      <c r="W72" s="23" t="s">
        <v>67</v>
      </c>
      <c r="X72" s="13" t="s">
        <v>67</v>
      </c>
    </row>
    <row r="73" spans="1:24" ht="48" customHeight="1">
      <c r="A73" s="11" t="s">
        <v>55</v>
      </c>
      <c r="B73" s="11" t="s">
        <v>17</v>
      </c>
      <c r="C73" s="11" t="s">
        <v>2659</v>
      </c>
      <c r="D73" s="11" t="s">
        <v>2660</v>
      </c>
      <c r="E73" s="11" t="s">
        <v>382</v>
      </c>
      <c r="F73" s="11" t="s">
        <v>59</v>
      </c>
      <c r="G73" s="11" t="s">
        <v>60</v>
      </c>
      <c r="H73" s="11" t="s">
        <v>200</v>
      </c>
      <c r="I73" s="11" t="s">
        <v>400</v>
      </c>
      <c r="J73" s="11" t="s">
        <v>2661</v>
      </c>
      <c r="K73" s="11" t="s">
        <v>2662</v>
      </c>
      <c r="L73" s="12" t="s">
        <v>23</v>
      </c>
      <c r="M73" s="12" t="s">
        <v>67</v>
      </c>
      <c r="N73" s="11" t="s">
        <v>67</v>
      </c>
      <c r="O73" s="11" t="s">
        <v>68</v>
      </c>
      <c r="P73" s="11">
        <v>1</v>
      </c>
      <c r="Q73" s="11" t="s">
        <v>386</v>
      </c>
      <c r="R73" s="11" t="s">
        <v>67</v>
      </c>
      <c r="S73" s="11" t="s">
        <v>212</v>
      </c>
      <c r="T73" s="11" t="s">
        <v>2657</v>
      </c>
      <c r="U73" s="11" t="s">
        <v>1766</v>
      </c>
      <c r="V73" s="11" t="s">
        <v>2658</v>
      </c>
      <c r="W73" s="23" t="s">
        <v>67</v>
      </c>
      <c r="X73" s="13" t="s">
        <v>67</v>
      </c>
    </row>
    <row r="74" spans="1:24" ht="33.950000000000003" customHeight="1">
      <c r="A74" s="11" t="s">
        <v>55</v>
      </c>
      <c r="B74" s="11" t="s">
        <v>17</v>
      </c>
      <c r="C74" s="11" t="s">
        <v>2663</v>
      </c>
      <c r="D74" s="11" t="s">
        <v>2664</v>
      </c>
      <c r="E74" s="11" t="s">
        <v>73</v>
      </c>
      <c r="F74" s="11" t="s">
        <v>59</v>
      </c>
      <c r="G74" s="11" t="s">
        <v>60</v>
      </c>
      <c r="H74" s="11" t="s">
        <v>61</v>
      </c>
      <c r="I74" s="11" t="s">
        <v>2665</v>
      </c>
      <c r="J74" s="11" t="s">
        <v>75</v>
      </c>
      <c r="K74" s="11" t="s">
        <v>2666</v>
      </c>
      <c r="L74" s="12" t="s">
        <v>23</v>
      </c>
      <c r="M74" s="12" t="s">
        <v>67</v>
      </c>
      <c r="N74" s="11" t="s">
        <v>67</v>
      </c>
      <c r="O74" s="11" t="s">
        <v>68</v>
      </c>
      <c r="P74" s="11" t="s">
        <v>78</v>
      </c>
      <c r="Q74" s="11" t="s">
        <v>67</v>
      </c>
      <c r="R74" s="11" t="s">
        <v>67</v>
      </c>
      <c r="S74" s="11" t="s">
        <v>70</v>
      </c>
      <c r="T74" s="11" t="s">
        <v>2421</v>
      </c>
      <c r="U74" s="11" t="s">
        <v>2422</v>
      </c>
      <c r="V74" s="11" t="s">
        <v>2423</v>
      </c>
      <c r="W74" s="23" t="s">
        <v>67</v>
      </c>
      <c r="X74" s="13" t="s">
        <v>67</v>
      </c>
    </row>
    <row r="75" spans="1:24" ht="62.1" customHeight="1">
      <c r="A75" s="11" t="s">
        <v>55</v>
      </c>
      <c r="B75" s="11" t="s">
        <v>17</v>
      </c>
      <c r="C75" s="11" t="s">
        <v>2667</v>
      </c>
      <c r="D75" s="11" t="s">
        <v>2668</v>
      </c>
      <c r="E75" s="11" t="s">
        <v>73</v>
      </c>
      <c r="F75" s="11" t="s">
        <v>59</v>
      </c>
      <c r="G75" s="11" t="s">
        <v>60</v>
      </c>
      <c r="H75" s="11" t="s">
        <v>194</v>
      </c>
      <c r="I75" s="11" t="s">
        <v>285</v>
      </c>
      <c r="J75" s="11" t="s">
        <v>2669</v>
      </c>
      <c r="K75" s="11" t="s">
        <v>2670</v>
      </c>
      <c r="L75" s="12" t="s">
        <v>23</v>
      </c>
      <c r="M75" s="12" t="s">
        <v>67</v>
      </c>
      <c r="N75" s="11" t="s">
        <v>67</v>
      </c>
      <c r="O75" s="11" t="s">
        <v>68</v>
      </c>
      <c r="P75" s="11" t="s">
        <v>78</v>
      </c>
      <c r="Q75" s="11" t="s">
        <v>67</v>
      </c>
      <c r="R75" s="11" t="s">
        <v>67</v>
      </c>
      <c r="S75" s="11" t="s">
        <v>70</v>
      </c>
      <c r="T75" s="11" t="s">
        <v>2671</v>
      </c>
      <c r="U75" s="11" t="s">
        <v>2422</v>
      </c>
      <c r="V75" s="11" t="s">
        <v>2672</v>
      </c>
      <c r="W75" s="23" t="s">
        <v>67</v>
      </c>
      <c r="X75" s="13" t="s">
        <v>67</v>
      </c>
    </row>
    <row r="76" spans="1:24" ht="62.1" customHeight="1">
      <c r="A76" s="11" t="s">
        <v>55</v>
      </c>
      <c r="B76" s="11" t="s">
        <v>17</v>
      </c>
      <c r="C76" s="11" t="s">
        <v>2673</v>
      </c>
      <c r="D76" s="11" t="s">
        <v>2674</v>
      </c>
      <c r="E76" s="11" t="s">
        <v>73</v>
      </c>
      <c r="F76" s="11" t="s">
        <v>59</v>
      </c>
      <c r="G76" s="11" t="s">
        <v>60</v>
      </c>
      <c r="H76" s="11" t="s">
        <v>200</v>
      </c>
      <c r="I76" s="11" t="s">
        <v>2675</v>
      </c>
      <c r="J76" s="11" t="s">
        <v>2676</v>
      </c>
      <c r="K76" s="11" t="s">
        <v>2677</v>
      </c>
      <c r="L76" s="12" t="s">
        <v>23</v>
      </c>
      <c r="M76" s="12" t="s">
        <v>67</v>
      </c>
      <c r="N76" s="11" t="s">
        <v>67</v>
      </c>
      <c r="O76" s="11" t="s">
        <v>68</v>
      </c>
      <c r="P76" s="11" t="s">
        <v>78</v>
      </c>
      <c r="Q76" s="11" t="s">
        <v>67</v>
      </c>
      <c r="R76" s="11" t="s">
        <v>67</v>
      </c>
      <c r="S76" s="11" t="s">
        <v>70</v>
      </c>
      <c r="T76" s="11" t="s">
        <v>2671</v>
      </c>
      <c r="U76" s="11" t="s">
        <v>2422</v>
      </c>
      <c r="V76" s="11" t="s">
        <v>2672</v>
      </c>
      <c r="W76" s="23" t="s">
        <v>67</v>
      </c>
      <c r="X76" s="13" t="s">
        <v>67</v>
      </c>
    </row>
    <row r="77" spans="1:24" ht="33.950000000000003" customHeight="1">
      <c r="A77" s="11" t="s">
        <v>55</v>
      </c>
      <c r="B77" s="11" t="s">
        <v>17</v>
      </c>
      <c r="C77" s="11" t="s">
        <v>2678</v>
      </c>
      <c r="D77" s="11" t="s">
        <v>2679</v>
      </c>
      <c r="E77" s="11" t="s">
        <v>2680</v>
      </c>
      <c r="F77" s="11" t="s">
        <v>59</v>
      </c>
      <c r="G77" s="11" t="s">
        <v>60</v>
      </c>
      <c r="H77" s="11" t="s">
        <v>61</v>
      </c>
      <c r="I77" s="11" t="s">
        <v>2681</v>
      </c>
      <c r="J77" s="11" t="s">
        <v>2682</v>
      </c>
      <c r="K77" s="11" t="s">
        <v>2683</v>
      </c>
      <c r="L77" s="12" t="s">
        <v>23</v>
      </c>
      <c r="M77" s="12" t="s">
        <v>67</v>
      </c>
      <c r="N77" s="11" t="s">
        <v>67</v>
      </c>
      <c r="O77" s="11" t="s">
        <v>68</v>
      </c>
      <c r="P77" s="11" t="s">
        <v>108</v>
      </c>
      <c r="Q77" s="11" t="s">
        <v>67</v>
      </c>
      <c r="R77" s="11" t="s">
        <v>67</v>
      </c>
      <c r="S77" s="11" t="s">
        <v>70</v>
      </c>
      <c r="T77" s="11" t="s">
        <v>2421</v>
      </c>
      <c r="U77" s="11" t="s">
        <v>2422</v>
      </c>
      <c r="V77" s="11" t="s">
        <v>2423</v>
      </c>
      <c r="W77" s="23" t="s">
        <v>67</v>
      </c>
      <c r="X77" s="13" t="s">
        <v>67</v>
      </c>
    </row>
    <row r="78" spans="1:24" ht="230.1" customHeight="1">
      <c r="A78" s="11" t="s">
        <v>55</v>
      </c>
      <c r="B78" s="11" t="s">
        <v>17</v>
      </c>
      <c r="C78" s="11" t="s">
        <v>2684</v>
      </c>
      <c r="D78" s="11" t="s">
        <v>2685</v>
      </c>
      <c r="E78" s="11" t="s">
        <v>2680</v>
      </c>
      <c r="F78" s="11" t="s">
        <v>59</v>
      </c>
      <c r="G78" s="11" t="s">
        <v>60</v>
      </c>
      <c r="H78" s="11" t="s">
        <v>194</v>
      </c>
      <c r="I78" s="11" t="s">
        <v>2686</v>
      </c>
      <c r="J78" s="11" t="s">
        <v>2687</v>
      </c>
      <c r="K78" s="11" t="s">
        <v>2688</v>
      </c>
      <c r="L78" s="12" t="s">
        <v>23</v>
      </c>
      <c r="M78" s="12" t="s">
        <v>67</v>
      </c>
      <c r="N78" s="11" t="s">
        <v>67</v>
      </c>
      <c r="O78" s="11" t="s">
        <v>68</v>
      </c>
      <c r="P78" s="11" t="s">
        <v>108</v>
      </c>
      <c r="Q78" s="11" t="s">
        <v>67</v>
      </c>
      <c r="R78" s="11" t="s">
        <v>67</v>
      </c>
      <c r="S78" s="11" t="s">
        <v>70</v>
      </c>
      <c r="T78" s="11" t="s">
        <v>2689</v>
      </c>
      <c r="U78" s="11" t="s">
        <v>2422</v>
      </c>
      <c r="V78" s="11" t="s">
        <v>2690</v>
      </c>
      <c r="W78" s="23" t="s">
        <v>67</v>
      </c>
      <c r="X78" s="13" t="s">
        <v>67</v>
      </c>
    </row>
    <row r="79" spans="1:24" ht="230.1" customHeight="1">
      <c r="A79" s="11" t="s">
        <v>55</v>
      </c>
      <c r="B79" s="11" t="s">
        <v>17</v>
      </c>
      <c r="C79" s="11" t="s">
        <v>2691</v>
      </c>
      <c r="D79" s="11" t="s">
        <v>2692</v>
      </c>
      <c r="E79" s="11" t="s">
        <v>2680</v>
      </c>
      <c r="F79" s="11" t="s">
        <v>59</v>
      </c>
      <c r="G79" s="11" t="s">
        <v>60</v>
      </c>
      <c r="H79" s="11" t="s">
        <v>200</v>
      </c>
      <c r="I79" s="11" t="s">
        <v>2693</v>
      </c>
      <c r="J79" s="11" t="s">
        <v>2694</v>
      </c>
      <c r="K79" s="11" t="s">
        <v>2695</v>
      </c>
      <c r="L79" s="12" t="s">
        <v>23</v>
      </c>
      <c r="M79" s="12" t="s">
        <v>67</v>
      </c>
      <c r="N79" s="11" t="s">
        <v>67</v>
      </c>
      <c r="O79" s="11" t="s">
        <v>68</v>
      </c>
      <c r="P79" s="11" t="s">
        <v>108</v>
      </c>
      <c r="Q79" s="11" t="s">
        <v>67</v>
      </c>
      <c r="R79" s="11" t="s">
        <v>67</v>
      </c>
      <c r="S79" s="11" t="s">
        <v>70</v>
      </c>
      <c r="T79" s="11" t="s">
        <v>2689</v>
      </c>
      <c r="U79" s="11" t="s">
        <v>2422</v>
      </c>
      <c r="V79" s="11" t="s">
        <v>2690</v>
      </c>
      <c r="W79" s="23" t="s">
        <v>67</v>
      </c>
      <c r="X79" s="13" t="s">
        <v>67</v>
      </c>
    </row>
    <row r="80" spans="1:24" ht="216" customHeight="1">
      <c r="A80" s="11" t="s">
        <v>55</v>
      </c>
      <c r="B80" s="11" t="s">
        <v>17</v>
      </c>
      <c r="C80" s="11" t="s">
        <v>2696</v>
      </c>
      <c r="D80" s="11" t="s">
        <v>2697</v>
      </c>
      <c r="E80" s="11" t="s">
        <v>2680</v>
      </c>
      <c r="F80" s="11" t="s">
        <v>59</v>
      </c>
      <c r="G80" s="11" t="s">
        <v>60</v>
      </c>
      <c r="H80" s="11" t="s">
        <v>234</v>
      </c>
      <c r="I80" s="11" t="s">
        <v>235</v>
      </c>
      <c r="J80" s="11" t="s">
        <v>2698</v>
      </c>
      <c r="K80" s="11" t="s">
        <v>2699</v>
      </c>
      <c r="L80" s="12" t="s">
        <v>23</v>
      </c>
      <c r="M80" s="12" t="s">
        <v>67</v>
      </c>
      <c r="N80" s="11" t="s">
        <v>67</v>
      </c>
      <c r="O80" s="11" t="s">
        <v>68</v>
      </c>
      <c r="P80" s="11" t="s">
        <v>108</v>
      </c>
      <c r="Q80" s="11" t="s">
        <v>307</v>
      </c>
      <c r="R80" s="11" t="s">
        <v>67</v>
      </c>
      <c r="S80" s="11" t="s">
        <v>212</v>
      </c>
      <c r="T80" s="11" t="s">
        <v>2700</v>
      </c>
      <c r="U80" s="11" t="s">
        <v>1766</v>
      </c>
      <c r="V80" s="11" t="s">
        <v>2701</v>
      </c>
      <c r="W80" s="23" t="s">
        <v>67</v>
      </c>
      <c r="X80" s="13" t="s">
        <v>67</v>
      </c>
    </row>
    <row r="81" spans="1:24" ht="33.950000000000003" customHeight="1">
      <c r="A81" s="11" t="s">
        <v>55</v>
      </c>
      <c r="B81" s="11" t="s">
        <v>17</v>
      </c>
      <c r="C81" s="11" t="s">
        <v>2702</v>
      </c>
      <c r="D81" s="11" t="s">
        <v>2703</v>
      </c>
      <c r="E81" s="11" t="s">
        <v>2704</v>
      </c>
      <c r="F81" s="11" t="s">
        <v>59</v>
      </c>
      <c r="G81" s="11" t="s">
        <v>60</v>
      </c>
      <c r="H81" s="11" t="s">
        <v>61</v>
      </c>
      <c r="I81" s="11" t="s">
        <v>2705</v>
      </c>
      <c r="J81" s="11" t="s">
        <v>2706</v>
      </c>
      <c r="K81" s="11" t="s">
        <v>2707</v>
      </c>
      <c r="L81" s="12" t="s">
        <v>23</v>
      </c>
      <c r="M81" s="12" t="s">
        <v>67</v>
      </c>
      <c r="N81" s="11" t="s">
        <v>67</v>
      </c>
      <c r="O81" s="11" t="s">
        <v>68</v>
      </c>
      <c r="P81" s="11" t="s">
        <v>67</v>
      </c>
      <c r="Q81" s="11" t="s">
        <v>115</v>
      </c>
      <c r="R81" s="11" t="s">
        <v>67</v>
      </c>
      <c r="S81" s="11" t="s">
        <v>70</v>
      </c>
      <c r="T81" s="11" t="s">
        <v>2421</v>
      </c>
      <c r="U81" s="11" t="s">
        <v>2422</v>
      </c>
      <c r="V81" s="11" t="s">
        <v>2423</v>
      </c>
      <c r="W81" s="23" t="s">
        <v>67</v>
      </c>
      <c r="X81" s="13" t="s">
        <v>67</v>
      </c>
    </row>
    <row r="82" spans="1:24" ht="62.1" customHeight="1">
      <c r="A82" s="11" t="s">
        <v>55</v>
      </c>
      <c r="B82" s="11" t="s">
        <v>17</v>
      </c>
      <c r="C82" s="11" t="s">
        <v>2708</v>
      </c>
      <c r="D82" s="11" t="s">
        <v>2709</v>
      </c>
      <c r="E82" s="11" t="s">
        <v>2704</v>
      </c>
      <c r="F82" s="11" t="s">
        <v>59</v>
      </c>
      <c r="G82" s="11" t="s">
        <v>60</v>
      </c>
      <c r="H82" s="11" t="s">
        <v>194</v>
      </c>
      <c r="I82" s="11" t="s">
        <v>2710</v>
      </c>
      <c r="J82" s="11" t="s">
        <v>2711</v>
      </c>
      <c r="K82" s="11" t="s">
        <v>2712</v>
      </c>
      <c r="L82" s="12" t="s">
        <v>23</v>
      </c>
      <c r="M82" s="12" t="s">
        <v>67</v>
      </c>
      <c r="N82" s="11" t="s">
        <v>67</v>
      </c>
      <c r="O82" s="11" t="s">
        <v>68</v>
      </c>
      <c r="P82" s="11" t="s">
        <v>67</v>
      </c>
      <c r="Q82" s="11" t="s">
        <v>115</v>
      </c>
      <c r="R82" s="11" t="s">
        <v>67</v>
      </c>
      <c r="S82" s="11" t="s">
        <v>70</v>
      </c>
      <c r="T82" s="11" t="s">
        <v>2713</v>
      </c>
      <c r="U82" s="11" t="s">
        <v>2422</v>
      </c>
      <c r="V82" s="11" t="s">
        <v>2714</v>
      </c>
      <c r="W82" s="23" t="s">
        <v>67</v>
      </c>
      <c r="X82" s="13" t="s">
        <v>67</v>
      </c>
    </row>
    <row r="83" spans="1:24" ht="33.950000000000003" customHeight="1">
      <c r="A83" s="11" t="s">
        <v>55</v>
      </c>
      <c r="B83" s="11" t="s">
        <v>17</v>
      </c>
      <c r="C83" s="11" t="s">
        <v>2715</v>
      </c>
      <c r="D83" s="11" t="s">
        <v>2716</v>
      </c>
      <c r="E83" s="11" t="s">
        <v>2704</v>
      </c>
      <c r="F83" s="11" t="s">
        <v>59</v>
      </c>
      <c r="G83" s="11" t="s">
        <v>60</v>
      </c>
      <c r="H83" s="11" t="s">
        <v>200</v>
      </c>
      <c r="I83" s="11" t="s">
        <v>315</v>
      </c>
      <c r="J83" s="11" t="s">
        <v>2717</v>
      </c>
      <c r="K83" s="11" t="s">
        <v>2718</v>
      </c>
      <c r="L83" s="12" t="s">
        <v>23</v>
      </c>
      <c r="M83" s="12" t="s">
        <v>67</v>
      </c>
      <c r="N83" s="11" t="s">
        <v>67</v>
      </c>
      <c r="O83" s="11" t="s">
        <v>68</v>
      </c>
      <c r="P83" s="11">
        <v>4</v>
      </c>
      <c r="Q83" s="11" t="s">
        <v>115</v>
      </c>
      <c r="R83" s="11" t="s">
        <v>67</v>
      </c>
      <c r="S83" s="11" t="s">
        <v>212</v>
      </c>
      <c r="T83" s="11" t="s">
        <v>2719</v>
      </c>
      <c r="U83" s="11" t="s">
        <v>1766</v>
      </c>
      <c r="V83" s="11" t="s">
        <v>2720</v>
      </c>
      <c r="W83" s="23" t="s">
        <v>67</v>
      </c>
      <c r="X83" s="13" t="s">
        <v>67</v>
      </c>
    </row>
    <row r="84" spans="1:24" ht="62.1" customHeight="1">
      <c r="A84" s="11" t="s">
        <v>55</v>
      </c>
      <c r="B84" s="11" t="s">
        <v>17</v>
      </c>
      <c r="C84" s="11" t="s">
        <v>2721</v>
      </c>
      <c r="D84" s="11" t="s">
        <v>2722</v>
      </c>
      <c r="E84" s="11" t="s">
        <v>2704</v>
      </c>
      <c r="F84" s="11" t="s">
        <v>59</v>
      </c>
      <c r="G84" s="11" t="s">
        <v>60</v>
      </c>
      <c r="H84" s="11" t="s">
        <v>234</v>
      </c>
      <c r="I84" s="11" t="s">
        <v>2723</v>
      </c>
      <c r="J84" s="11" t="s">
        <v>2724</v>
      </c>
      <c r="K84" s="11" t="s">
        <v>2725</v>
      </c>
      <c r="L84" s="12" t="s">
        <v>23</v>
      </c>
      <c r="M84" s="12" t="s">
        <v>67</v>
      </c>
      <c r="N84" s="11" t="s">
        <v>67</v>
      </c>
      <c r="O84" s="11" t="s">
        <v>68</v>
      </c>
      <c r="P84" s="11" t="s">
        <v>67</v>
      </c>
      <c r="Q84" s="11" t="s">
        <v>115</v>
      </c>
      <c r="R84" s="11" t="s">
        <v>67</v>
      </c>
      <c r="S84" s="11" t="s">
        <v>70</v>
      </c>
      <c r="T84" s="11" t="s">
        <v>2713</v>
      </c>
      <c r="U84" s="11" t="s">
        <v>2422</v>
      </c>
      <c r="V84" s="11" t="s">
        <v>2714</v>
      </c>
      <c r="W84" s="23" t="s">
        <v>67</v>
      </c>
      <c r="X84" s="13" t="s">
        <v>67</v>
      </c>
    </row>
    <row r="85" spans="1:24" ht="48" customHeight="1">
      <c r="A85" s="11" t="s">
        <v>55</v>
      </c>
      <c r="B85" s="11" t="s">
        <v>17</v>
      </c>
      <c r="C85" s="11" t="s">
        <v>2726</v>
      </c>
      <c r="D85" s="11" t="s">
        <v>2727</v>
      </c>
      <c r="E85" s="11" t="s">
        <v>2728</v>
      </c>
      <c r="F85" s="11" t="s">
        <v>59</v>
      </c>
      <c r="G85" s="11" t="s">
        <v>60</v>
      </c>
      <c r="H85" s="11" t="s">
        <v>194</v>
      </c>
      <c r="I85" s="11" t="s">
        <v>468</v>
      </c>
      <c r="J85" s="11" t="s">
        <v>2729</v>
      </c>
      <c r="K85" s="11" t="s">
        <v>2730</v>
      </c>
      <c r="L85" s="12" t="s">
        <v>23</v>
      </c>
      <c r="M85" s="12" t="s">
        <v>67</v>
      </c>
      <c r="N85" s="11" t="s">
        <v>67</v>
      </c>
      <c r="O85" s="11" t="s">
        <v>329</v>
      </c>
      <c r="P85" s="11">
        <v>1</v>
      </c>
      <c r="Q85" s="11" t="s">
        <v>330</v>
      </c>
      <c r="R85" s="11" t="s">
        <v>67</v>
      </c>
      <c r="S85" s="11" t="s">
        <v>212</v>
      </c>
      <c r="T85" s="11" t="s">
        <v>2731</v>
      </c>
      <c r="U85" s="11" t="s">
        <v>1766</v>
      </c>
      <c r="V85" s="11" t="s">
        <v>2732</v>
      </c>
      <c r="W85" s="23" t="s">
        <v>67</v>
      </c>
      <c r="X85" s="13" t="s">
        <v>67</v>
      </c>
    </row>
    <row r="86" spans="1:24" ht="48" customHeight="1">
      <c r="A86" s="11" t="s">
        <v>55</v>
      </c>
      <c r="B86" s="11" t="s">
        <v>17</v>
      </c>
      <c r="C86" s="11" t="s">
        <v>2733</v>
      </c>
      <c r="D86" s="11" t="s">
        <v>2734</v>
      </c>
      <c r="E86" s="11" t="s">
        <v>2728</v>
      </c>
      <c r="F86" s="11" t="s">
        <v>59</v>
      </c>
      <c r="G86" s="11" t="s">
        <v>60</v>
      </c>
      <c r="H86" s="11" t="s">
        <v>200</v>
      </c>
      <c r="I86" s="11" t="s">
        <v>400</v>
      </c>
      <c r="J86" s="11" t="s">
        <v>67</v>
      </c>
      <c r="K86" s="11" t="s">
        <v>2735</v>
      </c>
      <c r="L86" s="12" t="s">
        <v>25</v>
      </c>
      <c r="M86" s="12" t="s">
        <v>67</v>
      </c>
      <c r="N86" s="11" t="s">
        <v>2736</v>
      </c>
      <c r="O86" s="11" t="s">
        <v>329</v>
      </c>
      <c r="P86" s="11">
        <v>1</v>
      </c>
      <c r="Q86" s="11" t="s">
        <v>330</v>
      </c>
      <c r="R86" s="11" t="s">
        <v>67</v>
      </c>
      <c r="S86" s="11" t="s">
        <v>212</v>
      </c>
      <c r="T86" s="11" t="s">
        <v>2731</v>
      </c>
      <c r="U86" s="11" t="s">
        <v>1766</v>
      </c>
      <c r="V86" s="11" t="s">
        <v>2732</v>
      </c>
      <c r="W86" s="23" t="s">
        <v>67</v>
      </c>
      <c r="X86" s="13" t="s">
        <v>67</v>
      </c>
    </row>
    <row r="87" spans="1:24" ht="33.950000000000003" customHeight="1">
      <c r="A87" s="11" t="s">
        <v>55</v>
      </c>
      <c r="B87" s="11" t="s">
        <v>17</v>
      </c>
      <c r="C87" s="11" t="s">
        <v>2737</v>
      </c>
      <c r="D87" s="11" t="s">
        <v>2738</v>
      </c>
      <c r="E87" s="11" t="s">
        <v>95</v>
      </c>
      <c r="F87" s="11" t="s">
        <v>59</v>
      </c>
      <c r="G87" s="11" t="s">
        <v>60</v>
      </c>
      <c r="H87" s="11" t="s">
        <v>61</v>
      </c>
      <c r="I87" s="11" t="s">
        <v>2739</v>
      </c>
      <c r="J87" s="11" t="s">
        <v>97</v>
      </c>
      <c r="K87" s="11" t="s">
        <v>2740</v>
      </c>
      <c r="L87" s="12" t="s">
        <v>23</v>
      </c>
      <c r="M87" s="12" t="s">
        <v>67</v>
      </c>
      <c r="N87" s="11" t="s">
        <v>67</v>
      </c>
      <c r="O87" s="11" t="s">
        <v>68</v>
      </c>
      <c r="P87" s="11" t="s">
        <v>67</v>
      </c>
      <c r="Q87" s="11" t="s">
        <v>2741</v>
      </c>
      <c r="R87" s="11" t="s">
        <v>67</v>
      </c>
      <c r="S87" s="11" t="s">
        <v>70</v>
      </c>
      <c r="T87" s="11" t="s">
        <v>2421</v>
      </c>
      <c r="U87" s="11" t="s">
        <v>2422</v>
      </c>
      <c r="V87" s="11" t="s">
        <v>2423</v>
      </c>
      <c r="W87" s="23" t="s">
        <v>67</v>
      </c>
      <c r="X87" s="13" t="s">
        <v>67</v>
      </c>
    </row>
    <row r="88" spans="1:24" ht="75.95" customHeight="1">
      <c r="A88" s="11" t="s">
        <v>55</v>
      </c>
      <c r="B88" s="11" t="s">
        <v>17</v>
      </c>
      <c r="C88" s="11" t="s">
        <v>2742</v>
      </c>
      <c r="D88" s="11" t="s">
        <v>2743</v>
      </c>
      <c r="E88" s="11" t="s">
        <v>95</v>
      </c>
      <c r="F88" s="11" t="s">
        <v>59</v>
      </c>
      <c r="G88" s="11" t="s">
        <v>60</v>
      </c>
      <c r="H88" s="11" t="s">
        <v>194</v>
      </c>
      <c r="I88" s="11" t="s">
        <v>366</v>
      </c>
      <c r="J88" s="11" t="s">
        <v>2744</v>
      </c>
      <c r="K88" s="11" t="s">
        <v>2745</v>
      </c>
      <c r="L88" s="12" t="s">
        <v>23</v>
      </c>
      <c r="M88" s="12" t="s">
        <v>67</v>
      </c>
      <c r="N88" s="11" t="s">
        <v>67</v>
      </c>
      <c r="O88" s="11" t="s">
        <v>68</v>
      </c>
      <c r="P88" s="11" t="s">
        <v>67</v>
      </c>
      <c r="Q88" s="11" t="s">
        <v>2741</v>
      </c>
      <c r="R88" s="11" t="s">
        <v>67</v>
      </c>
      <c r="S88" s="11" t="s">
        <v>70</v>
      </c>
      <c r="T88" s="11" t="s">
        <v>2746</v>
      </c>
      <c r="U88" s="11" t="s">
        <v>2422</v>
      </c>
      <c r="V88" s="11" t="s">
        <v>2747</v>
      </c>
      <c r="W88" s="23" t="s">
        <v>67</v>
      </c>
      <c r="X88" s="13" t="s">
        <v>67</v>
      </c>
    </row>
    <row r="89" spans="1:24" ht="62.1" customHeight="1">
      <c r="A89" s="11" t="s">
        <v>55</v>
      </c>
      <c r="B89" s="11" t="s">
        <v>17</v>
      </c>
      <c r="C89" s="11" t="s">
        <v>2748</v>
      </c>
      <c r="D89" s="11" t="s">
        <v>2749</v>
      </c>
      <c r="E89" s="11" t="s">
        <v>95</v>
      </c>
      <c r="F89" s="11" t="s">
        <v>59</v>
      </c>
      <c r="G89" s="11" t="s">
        <v>60</v>
      </c>
      <c r="H89" s="11" t="s">
        <v>200</v>
      </c>
      <c r="I89" s="11" t="s">
        <v>371</v>
      </c>
      <c r="J89" s="11" t="s">
        <v>372</v>
      </c>
      <c r="K89" s="11" t="s">
        <v>2750</v>
      </c>
      <c r="L89" s="12" t="s">
        <v>23</v>
      </c>
      <c r="M89" s="12" t="s">
        <v>67</v>
      </c>
      <c r="N89" s="11" t="s">
        <v>67</v>
      </c>
      <c r="O89" s="11" t="s">
        <v>68</v>
      </c>
      <c r="P89" s="11">
        <v>11</v>
      </c>
      <c r="Q89" s="11" t="s">
        <v>2741</v>
      </c>
      <c r="R89" s="11" t="s">
        <v>67</v>
      </c>
      <c r="S89" s="11" t="s">
        <v>212</v>
      </c>
      <c r="T89" s="11" t="s">
        <v>2751</v>
      </c>
      <c r="U89" s="11" t="s">
        <v>1766</v>
      </c>
      <c r="V89" s="11" t="s">
        <v>2752</v>
      </c>
      <c r="W89" s="23" t="s">
        <v>67</v>
      </c>
      <c r="X89" s="13" t="s">
        <v>67</v>
      </c>
    </row>
    <row r="90" spans="1:24" ht="75.95" customHeight="1">
      <c r="A90" s="11" t="s">
        <v>55</v>
      </c>
      <c r="B90" s="11" t="s">
        <v>17</v>
      </c>
      <c r="C90" s="11" t="s">
        <v>2753</v>
      </c>
      <c r="D90" s="11" t="s">
        <v>2754</v>
      </c>
      <c r="E90" s="11" t="s">
        <v>95</v>
      </c>
      <c r="F90" s="11" t="s">
        <v>59</v>
      </c>
      <c r="G90" s="11" t="s">
        <v>60</v>
      </c>
      <c r="H90" s="11" t="s">
        <v>234</v>
      </c>
      <c r="I90" s="11" t="s">
        <v>2755</v>
      </c>
      <c r="J90" s="11" t="s">
        <v>2756</v>
      </c>
      <c r="K90" s="11" t="s">
        <v>2757</v>
      </c>
      <c r="L90" s="12" t="s">
        <v>23</v>
      </c>
      <c r="M90" s="12" t="s">
        <v>67</v>
      </c>
      <c r="N90" s="11" t="s">
        <v>67</v>
      </c>
      <c r="O90" s="11" t="s">
        <v>68</v>
      </c>
      <c r="P90" s="11" t="s">
        <v>67</v>
      </c>
      <c r="Q90" s="11" t="s">
        <v>2741</v>
      </c>
      <c r="R90" s="11" t="s">
        <v>67</v>
      </c>
      <c r="S90" s="11" t="s">
        <v>70</v>
      </c>
      <c r="T90" s="11" t="s">
        <v>2746</v>
      </c>
      <c r="U90" s="11" t="s">
        <v>2422</v>
      </c>
      <c r="V90" s="11" t="s">
        <v>2747</v>
      </c>
      <c r="W90" s="23" t="s">
        <v>67</v>
      </c>
      <c r="X90" s="13" t="s">
        <v>67</v>
      </c>
    </row>
    <row r="91" spans="1:24" ht="62.1" customHeight="1">
      <c r="A91" s="11" t="s">
        <v>55</v>
      </c>
      <c r="B91" s="11" t="s">
        <v>17</v>
      </c>
      <c r="C91" s="11" t="s">
        <v>2758</v>
      </c>
      <c r="D91" s="11" t="s">
        <v>2759</v>
      </c>
      <c r="E91" s="11" t="s">
        <v>770</v>
      </c>
      <c r="F91" s="11" t="s">
        <v>59</v>
      </c>
      <c r="G91" s="11" t="s">
        <v>60</v>
      </c>
      <c r="H91" s="11" t="s">
        <v>194</v>
      </c>
      <c r="I91" s="11" t="s">
        <v>224</v>
      </c>
      <c r="J91" s="11" t="s">
        <v>771</v>
      </c>
      <c r="K91" s="11" t="s">
        <v>2760</v>
      </c>
      <c r="L91" s="12" t="s">
        <v>23</v>
      </c>
      <c r="M91" s="12" t="s">
        <v>67</v>
      </c>
      <c r="N91" s="11" t="s">
        <v>67</v>
      </c>
      <c r="O91" s="11" t="s">
        <v>68</v>
      </c>
      <c r="P91" s="11" t="s">
        <v>773</v>
      </c>
      <c r="Q91" s="11">
        <v>1</v>
      </c>
      <c r="R91" s="11" t="s">
        <v>67</v>
      </c>
      <c r="S91" s="11" t="s">
        <v>212</v>
      </c>
      <c r="T91" s="11" t="s">
        <v>67</v>
      </c>
      <c r="U91" s="11" t="s">
        <v>1766</v>
      </c>
      <c r="V91" s="11" t="s">
        <v>2761</v>
      </c>
      <c r="W91" s="23" t="s">
        <v>67</v>
      </c>
      <c r="X91" s="13" t="s">
        <v>67</v>
      </c>
    </row>
    <row r="92" spans="1:24" ht="62.1" customHeight="1">
      <c r="A92" s="11" t="s">
        <v>55</v>
      </c>
      <c r="B92" s="11" t="s">
        <v>17</v>
      </c>
      <c r="C92" s="11" t="s">
        <v>2762</v>
      </c>
      <c r="D92" s="11" t="s">
        <v>2763</v>
      </c>
      <c r="E92" s="11" t="s">
        <v>770</v>
      </c>
      <c r="F92" s="11" t="s">
        <v>59</v>
      </c>
      <c r="G92" s="11" t="s">
        <v>60</v>
      </c>
      <c r="H92" s="11" t="s">
        <v>200</v>
      </c>
      <c r="I92" s="11" t="s">
        <v>2764</v>
      </c>
      <c r="J92" s="11" t="s">
        <v>778</v>
      </c>
      <c r="K92" s="11" t="s">
        <v>2765</v>
      </c>
      <c r="L92" s="12" t="s">
        <v>23</v>
      </c>
      <c r="M92" s="12" t="s">
        <v>67</v>
      </c>
      <c r="N92" s="11" t="s">
        <v>67</v>
      </c>
      <c r="O92" s="11" t="s">
        <v>68</v>
      </c>
      <c r="P92" s="11" t="s">
        <v>773</v>
      </c>
      <c r="Q92" s="11">
        <v>1</v>
      </c>
      <c r="R92" s="11" t="s">
        <v>67</v>
      </c>
      <c r="S92" s="11" t="s">
        <v>212</v>
      </c>
      <c r="T92" s="11" t="s">
        <v>67</v>
      </c>
      <c r="U92" s="11" t="s">
        <v>1766</v>
      </c>
      <c r="V92" s="11" t="s">
        <v>2761</v>
      </c>
      <c r="W92" s="23" t="s">
        <v>67</v>
      </c>
      <c r="X92" s="13" t="s">
        <v>67</v>
      </c>
    </row>
    <row r="93" spans="1:24" ht="75.95" customHeight="1">
      <c r="A93" s="11" t="s">
        <v>55</v>
      </c>
      <c r="B93" s="11" t="s">
        <v>17</v>
      </c>
      <c r="C93" s="11" t="s">
        <v>2766</v>
      </c>
      <c r="D93" s="11" t="s">
        <v>2767</v>
      </c>
      <c r="E93" s="11" t="s">
        <v>770</v>
      </c>
      <c r="F93" s="11" t="s">
        <v>59</v>
      </c>
      <c r="G93" s="11" t="s">
        <v>60</v>
      </c>
      <c r="H93" s="11" t="s">
        <v>234</v>
      </c>
      <c r="I93" s="11" t="s">
        <v>235</v>
      </c>
      <c r="J93" s="11" t="s">
        <v>67</v>
      </c>
      <c r="K93" s="11" t="s">
        <v>2768</v>
      </c>
      <c r="L93" s="12" t="s">
        <v>25</v>
      </c>
      <c r="M93" s="12" t="s">
        <v>67</v>
      </c>
      <c r="N93" s="11" t="s">
        <v>237</v>
      </c>
      <c r="O93" s="11" t="s">
        <v>68</v>
      </c>
      <c r="P93" s="11" t="s">
        <v>773</v>
      </c>
      <c r="Q93" s="11">
        <v>1</v>
      </c>
      <c r="R93" s="11" t="s">
        <v>67</v>
      </c>
      <c r="S93" s="11" t="s">
        <v>212</v>
      </c>
      <c r="T93" s="11" t="s">
        <v>67</v>
      </c>
      <c r="U93" s="11" t="s">
        <v>1766</v>
      </c>
      <c r="V93" s="11" t="s">
        <v>2761</v>
      </c>
      <c r="W93" s="23" t="s">
        <v>67</v>
      </c>
      <c r="X93" s="13" t="s">
        <v>67</v>
      </c>
    </row>
    <row r="94" spans="1:24" ht="62.1" customHeight="1">
      <c r="A94" s="11" t="s">
        <v>55</v>
      </c>
      <c r="B94" s="11" t="s">
        <v>17</v>
      </c>
      <c r="C94" s="11" t="s">
        <v>2769</v>
      </c>
      <c r="D94" s="11" t="s">
        <v>2770</v>
      </c>
      <c r="E94" s="11" t="s">
        <v>186</v>
      </c>
      <c r="F94" s="11" t="s">
        <v>59</v>
      </c>
      <c r="G94" s="11" t="s">
        <v>60</v>
      </c>
      <c r="H94" s="11" t="s">
        <v>194</v>
      </c>
      <c r="I94" s="11" t="s">
        <v>787</v>
      </c>
      <c r="J94" s="11" t="s">
        <v>788</v>
      </c>
      <c r="K94" s="11" t="s">
        <v>2771</v>
      </c>
      <c r="L94" s="12" t="s">
        <v>23</v>
      </c>
      <c r="M94" s="12" t="s">
        <v>67</v>
      </c>
      <c r="N94" s="11" t="s">
        <v>67</v>
      </c>
      <c r="O94" s="11" t="s">
        <v>68</v>
      </c>
      <c r="P94" s="11" t="s">
        <v>191</v>
      </c>
      <c r="Q94" s="11" t="s">
        <v>790</v>
      </c>
      <c r="R94" s="11" t="s">
        <v>67</v>
      </c>
      <c r="S94" s="11" t="s">
        <v>212</v>
      </c>
      <c r="T94" s="11" t="s">
        <v>67</v>
      </c>
      <c r="U94" s="11" t="s">
        <v>1766</v>
      </c>
      <c r="V94" s="11" t="s">
        <v>2772</v>
      </c>
      <c r="W94" s="23" t="s">
        <v>67</v>
      </c>
      <c r="X94" s="13" t="s">
        <v>67</v>
      </c>
    </row>
    <row r="95" spans="1:24" ht="62.1" customHeight="1">
      <c r="A95" s="11" t="s">
        <v>55</v>
      </c>
      <c r="B95" s="11" t="s">
        <v>17</v>
      </c>
      <c r="C95" s="11" t="s">
        <v>2773</v>
      </c>
      <c r="D95" s="11" t="s">
        <v>2774</v>
      </c>
      <c r="E95" s="11" t="s">
        <v>186</v>
      </c>
      <c r="F95" s="11" t="s">
        <v>59</v>
      </c>
      <c r="G95" s="11" t="s">
        <v>60</v>
      </c>
      <c r="H95" s="11" t="s">
        <v>200</v>
      </c>
      <c r="I95" s="11" t="s">
        <v>2775</v>
      </c>
      <c r="J95" s="11" t="s">
        <v>794</v>
      </c>
      <c r="K95" s="11" t="s">
        <v>2776</v>
      </c>
      <c r="L95" s="12" t="s">
        <v>23</v>
      </c>
      <c r="M95" s="12" t="s">
        <v>67</v>
      </c>
      <c r="N95" s="11" t="s">
        <v>67</v>
      </c>
      <c r="O95" s="11" t="s">
        <v>68</v>
      </c>
      <c r="P95" s="11" t="s">
        <v>191</v>
      </c>
      <c r="Q95" s="11" t="s">
        <v>790</v>
      </c>
      <c r="R95" s="11" t="s">
        <v>67</v>
      </c>
      <c r="S95" s="11" t="s">
        <v>212</v>
      </c>
      <c r="T95" s="11" t="s">
        <v>67</v>
      </c>
      <c r="U95" s="11" t="s">
        <v>1766</v>
      </c>
      <c r="V95" s="11" t="s">
        <v>2772</v>
      </c>
      <c r="W95" s="23" t="s">
        <v>67</v>
      </c>
      <c r="X95" s="13" t="s">
        <v>67</v>
      </c>
    </row>
    <row r="96" spans="1:24" ht="62.1" customHeight="1">
      <c r="A96" s="11" t="s">
        <v>55</v>
      </c>
      <c r="B96" s="11" t="s">
        <v>17</v>
      </c>
      <c r="C96" s="11" t="s">
        <v>2777</v>
      </c>
      <c r="D96" s="11" t="s">
        <v>2778</v>
      </c>
      <c r="E96" s="11" t="s">
        <v>756</v>
      </c>
      <c r="F96" s="11" t="s">
        <v>59</v>
      </c>
      <c r="G96" s="11" t="s">
        <v>60</v>
      </c>
      <c r="H96" s="11" t="s">
        <v>194</v>
      </c>
      <c r="I96" s="11" t="s">
        <v>383</v>
      </c>
      <c r="J96" s="11" t="s">
        <v>757</v>
      </c>
      <c r="K96" s="11" t="s">
        <v>2779</v>
      </c>
      <c r="L96" s="12" t="s">
        <v>23</v>
      </c>
      <c r="M96" s="12" t="s">
        <v>67</v>
      </c>
      <c r="N96" s="11" t="s">
        <v>67</v>
      </c>
      <c r="O96" s="11" t="s">
        <v>68</v>
      </c>
      <c r="P96" s="11">
        <v>1</v>
      </c>
      <c r="Q96" s="11" t="s">
        <v>175</v>
      </c>
      <c r="R96" s="11" t="s">
        <v>67</v>
      </c>
      <c r="S96" s="11" t="s">
        <v>212</v>
      </c>
      <c r="T96" s="11" t="s">
        <v>67</v>
      </c>
      <c r="U96" s="11" t="s">
        <v>1766</v>
      </c>
      <c r="V96" s="11" t="s">
        <v>2780</v>
      </c>
      <c r="W96" s="23" t="s">
        <v>67</v>
      </c>
      <c r="X96" s="13" t="s">
        <v>67</v>
      </c>
    </row>
    <row r="97" spans="1:24" ht="62.1" customHeight="1">
      <c r="A97" s="11" t="s">
        <v>55</v>
      </c>
      <c r="B97" s="11" t="s">
        <v>17</v>
      </c>
      <c r="C97" s="11" t="s">
        <v>2781</v>
      </c>
      <c r="D97" s="11" t="s">
        <v>2782</v>
      </c>
      <c r="E97" s="11" t="s">
        <v>756</v>
      </c>
      <c r="F97" s="11" t="s">
        <v>59</v>
      </c>
      <c r="G97" s="11" t="s">
        <v>60</v>
      </c>
      <c r="H97" s="11" t="s">
        <v>200</v>
      </c>
      <c r="I97" s="11" t="s">
        <v>400</v>
      </c>
      <c r="J97" s="11" t="s">
        <v>761</v>
      </c>
      <c r="K97" s="11" t="s">
        <v>2783</v>
      </c>
      <c r="L97" s="12" t="s">
        <v>23</v>
      </c>
      <c r="M97" s="12" t="s">
        <v>67</v>
      </c>
      <c r="N97" s="11" t="s">
        <v>67</v>
      </c>
      <c r="O97" s="11" t="s">
        <v>68</v>
      </c>
      <c r="P97" s="11">
        <v>1</v>
      </c>
      <c r="Q97" s="11" t="s">
        <v>175</v>
      </c>
      <c r="R97" s="11" t="s">
        <v>67</v>
      </c>
      <c r="S97" s="11" t="s">
        <v>212</v>
      </c>
      <c r="T97" s="11" t="s">
        <v>67</v>
      </c>
      <c r="U97" s="11" t="s">
        <v>1766</v>
      </c>
      <c r="V97" s="11" t="s">
        <v>2780</v>
      </c>
      <c r="W97" s="23" t="s">
        <v>67</v>
      </c>
      <c r="X97" s="13" t="s">
        <v>67</v>
      </c>
    </row>
    <row r="98" spans="1:24" ht="62.1" customHeight="1">
      <c r="A98" s="11" t="s">
        <v>55</v>
      </c>
      <c r="B98" s="11" t="s">
        <v>17</v>
      </c>
      <c r="C98" s="11" t="s">
        <v>2784</v>
      </c>
      <c r="D98" s="11" t="s">
        <v>2785</v>
      </c>
      <c r="E98" s="11" t="s">
        <v>756</v>
      </c>
      <c r="F98" s="11" t="s">
        <v>59</v>
      </c>
      <c r="G98" s="11" t="s">
        <v>60</v>
      </c>
      <c r="H98" s="11" t="s">
        <v>234</v>
      </c>
      <c r="I98" s="11" t="s">
        <v>2786</v>
      </c>
      <c r="J98" s="11" t="s">
        <v>766</v>
      </c>
      <c r="K98" s="11" t="s">
        <v>2787</v>
      </c>
      <c r="L98" s="12" t="s">
        <v>23</v>
      </c>
      <c r="M98" s="12" t="s">
        <v>67</v>
      </c>
      <c r="N98" s="11" t="s">
        <v>67</v>
      </c>
      <c r="O98" s="11" t="s">
        <v>68</v>
      </c>
      <c r="P98" s="11">
        <v>1</v>
      </c>
      <c r="Q98" s="11" t="s">
        <v>175</v>
      </c>
      <c r="R98" s="11" t="s">
        <v>67</v>
      </c>
      <c r="S98" s="11" t="s">
        <v>212</v>
      </c>
      <c r="T98" s="11" t="s">
        <v>67</v>
      </c>
      <c r="U98" s="11" t="s">
        <v>1766</v>
      </c>
      <c r="V98" s="11" t="s">
        <v>2780</v>
      </c>
      <c r="W98" s="23" t="s">
        <v>67</v>
      </c>
      <c r="X98" s="13" t="s">
        <v>67</v>
      </c>
    </row>
    <row r="99" spans="1:24" ht="33.950000000000003" customHeight="1">
      <c r="A99" s="11" t="s">
        <v>55</v>
      </c>
      <c r="B99" s="11" t="s">
        <v>17</v>
      </c>
      <c r="C99" s="11" t="s">
        <v>2788</v>
      </c>
      <c r="D99" s="11" t="s">
        <v>2789</v>
      </c>
      <c r="E99" s="11" t="s">
        <v>596</v>
      </c>
      <c r="F99" s="11" t="s">
        <v>59</v>
      </c>
      <c r="G99" s="11" t="s">
        <v>60</v>
      </c>
      <c r="H99" s="11" t="s">
        <v>194</v>
      </c>
      <c r="I99" s="11" t="s">
        <v>383</v>
      </c>
      <c r="J99" s="11" t="s">
        <v>597</v>
      </c>
      <c r="K99" s="11" t="s">
        <v>2790</v>
      </c>
      <c r="L99" s="12" t="s">
        <v>23</v>
      </c>
      <c r="M99" s="12" t="s">
        <v>67</v>
      </c>
      <c r="N99" s="11" t="s">
        <v>67</v>
      </c>
      <c r="O99" s="11" t="s">
        <v>68</v>
      </c>
      <c r="P99" s="11">
        <v>1</v>
      </c>
      <c r="Q99" s="11" t="s">
        <v>599</v>
      </c>
      <c r="R99" s="11" t="s">
        <v>67</v>
      </c>
      <c r="S99" s="11" t="s">
        <v>212</v>
      </c>
      <c r="T99" s="11" t="s">
        <v>2791</v>
      </c>
      <c r="U99" s="11" t="s">
        <v>1766</v>
      </c>
      <c r="V99" s="11" t="s">
        <v>2792</v>
      </c>
      <c r="W99" s="23" t="s">
        <v>67</v>
      </c>
      <c r="X99" s="13" t="s">
        <v>67</v>
      </c>
    </row>
    <row r="100" spans="1:24" ht="33.950000000000003" customHeight="1">
      <c r="A100" s="11" t="s">
        <v>55</v>
      </c>
      <c r="B100" s="11" t="s">
        <v>17</v>
      </c>
      <c r="C100" s="11" t="s">
        <v>2793</v>
      </c>
      <c r="D100" s="11" t="s">
        <v>2794</v>
      </c>
      <c r="E100" s="11" t="s">
        <v>596</v>
      </c>
      <c r="F100" s="11" t="s">
        <v>59</v>
      </c>
      <c r="G100" s="11" t="s">
        <v>60</v>
      </c>
      <c r="H100" s="11" t="s">
        <v>200</v>
      </c>
      <c r="I100" s="11" t="s">
        <v>400</v>
      </c>
      <c r="J100" s="11" t="s">
        <v>602</v>
      </c>
      <c r="K100" s="11" t="s">
        <v>2795</v>
      </c>
      <c r="L100" s="12" t="s">
        <v>23</v>
      </c>
      <c r="M100" s="12" t="s">
        <v>67</v>
      </c>
      <c r="N100" s="11" t="s">
        <v>67</v>
      </c>
      <c r="O100" s="11" t="s">
        <v>68</v>
      </c>
      <c r="P100" s="11">
        <v>1</v>
      </c>
      <c r="Q100" s="11" t="s">
        <v>599</v>
      </c>
      <c r="R100" s="11" t="s">
        <v>67</v>
      </c>
      <c r="S100" s="11" t="s">
        <v>212</v>
      </c>
      <c r="T100" s="11" t="s">
        <v>2791</v>
      </c>
      <c r="U100" s="11" t="s">
        <v>1766</v>
      </c>
      <c r="V100" s="11" t="s">
        <v>2792</v>
      </c>
      <c r="W100" s="23" t="s">
        <v>67</v>
      </c>
      <c r="X100" s="13" t="s">
        <v>67</v>
      </c>
    </row>
    <row r="101" spans="1:24" ht="33.950000000000003" customHeight="1">
      <c r="A101" s="11" t="s">
        <v>55</v>
      </c>
      <c r="B101" s="11" t="s">
        <v>17</v>
      </c>
      <c r="C101" s="11" t="s">
        <v>2796</v>
      </c>
      <c r="D101" s="11" t="s">
        <v>2797</v>
      </c>
      <c r="E101" s="11" t="s">
        <v>118</v>
      </c>
      <c r="F101" s="11" t="s">
        <v>59</v>
      </c>
      <c r="G101" s="11" t="s">
        <v>60</v>
      </c>
      <c r="H101" s="11" t="s">
        <v>194</v>
      </c>
      <c r="I101" s="11" t="s">
        <v>383</v>
      </c>
      <c r="J101" s="11" t="s">
        <v>2798</v>
      </c>
      <c r="K101" s="11" t="s">
        <v>2799</v>
      </c>
      <c r="L101" s="12" t="s">
        <v>23</v>
      </c>
      <c r="M101" s="12" t="s">
        <v>67</v>
      </c>
      <c r="N101" s="11" t="s">
        <v>67</v>
      </c>
      <c r="O101" s="11" t="s">
        <v>68</v>
      </c>
      <c r="P101" s="11">
        <v>1</v>
      </c>
      <c r="Q101" s="11" t="s">
        <v>123</v>
      </c>
      <c r="R101" s="11" t="s">
        <v>67</v>
      </c>
      <c r="S101" s="11" t="s">
        <v>212</v>
      </c>
      <c r="T101" s="11" t="s">
        <v>2800</v>
      </c>
      <c r="U101" s="11" t="s">
        <v>1766</v>
      </c>
      <c r="V101" s="11" t="s">
        <v>2801</v>
      </c>
      <c r="W101" s="23" t="s">
        <v>67</v>
      </c>
      <c r="X101" s="13" t="s">
        <v>67</v>
      </c>
    </row>
    <row r="102" spans="1:24" ht="33.950000000000003" customHeight="1">
      <c r="A102" s="11" t="s">
        <v>55</v>
      </c>
      <c r="B102" s="11" t="s">
        <v>17</v>
      </c>
      <c r="C102" s="11" t="s">
        <v>2802</v>
      </c>
      <c r="D102" s="11" t="s">
        <v>2803</v>
      </c>
      <c r="E102" s="11" t="s">
        <v>118</v>
      </c>
      <c r="F102" s="11" t="s">
        <v>59</v>
      </c>
      <c r="G102" s="11" t="s">
        <v>60</v>
      </c>
      <c r="H102" s="11" t="s">
        <v>200</v>
      </c>
      <c r="I102" s="11" t="s">
        <v>400</v>
      </c>
      <c r="J102" s="11" t="s">
        <v>2804</v>
      </c>
      <c r="K102" s="11" t="s">
        <v>2805</v>
      </c>
      <c r="L102" s="12" t="s">
        <v>23</v>
      </c>
      <c r="M102" s="12" t="s">
        <v>67</v>
      </c>
      <c r="N102" s="11" t="s">
        <v>67</v>
      </c>
      <c r="O102" s="11" t="s">
        <v>68</v>
      </c>
      <c r="P102" s="11">
        <v>1</v>
      </c>
      <c r="Q102" s="11" t="s">
        <v>123</v>
      </c>
      <c r="R102" s="11" t="s">
        <v>67</v>
      </c>
      <c r="S102" s="11" t="s">
        <v>212</v>
      </c>
      <c r="T102" s="11" t="s">
        <v>2800</v>
      </c>
      <c r="U102" s="11" t="s">
        <v>1766</v>
      </c>
      <c r="V102" s="11" t="s">
        <v>2801</v>
      </c>
      <c r="W102" s="23" t="s">
        <v>67</v>
      </c>
      <c r="X102" s="13" t="s">
        <v>67</v>
      </c>
    </row>
    <row r="103" spans="1:24" ht="33.950000000000003" customHeight="1">
      <c r="A103" s="11" t="s">
        <v>55</v>
      </c>
      <c r="B103" s="11" t="s">
        <v>17</v>
      </c>
      <c r="C103" s="11" t="s">
        <v>2806</v>
      </c>
      <c r="D103" s="11" t="s">
        <v>2807</v>
      </c>
      <c r="E103" s="11" t="s">
        <v>118</v>
      </c>
      <c r="F103" s="11" t="s">
        <v>59</v>
      </c>
      <c r="G103" s="11" t="s">
        <v>60</v>
      </c>
      <c r="H103" s="11" t="s">
        <v>234</v>
      </c>
      <c r="I103" s="11" t="s">
        <v>2808</v>
      </c>
      <c r="J103" s="11" t="s">
        <v>564</v>
      </c>
      <c r="K103" s="11" t="s">
        <v>2809</v>
      </c>
      <c r="L103" s="12" t="s">
        <v>23</v>
      </c>
      <c r="M103" s="12" t="s">
        <v>67</v>
      </c>
      <c r="N103" s="11" t="s">
        <v>67</v>
      </c>
      <c r="O103" s="11" t="s">
        <v>68</v>
      </c>
      <c r="P103" s="11">
        <v>1</v>
      </c>
      <c r="Q103" s="11" t="s">
        <v>123</v>
      </c>
      <c r="R103" s="11" t="s">
        <v>67</v>
      </c>
      <c r="S103" s="11" t="s">
        <v>212</v>
      </c>
      <c r="T103" s="11" t="s">
        <v>2800</v>
      </c>
      <c r="U103" s="11" t="s">
        <v>1766</v>
      </c>
      <c r="V103" s="11" t="s">
        <v>2801</v>
      </c>
      <c r="W103" s="23" t="s">
        <v>67</v>
      </c>
      <c r="X103" s="13" t="s">
        <v>67</v>
      </c>
    </row>
    <row r="104" spans="1:24" ht="33.950000000000003" customHeight="1">
      <c r="A104" s="11" t="s">
        <v>55</v>
      </c>
      <c r="B104" s="11" t="s">
        <v>17</v>
      </c>
      <c r="C104" s="11" t="s">
        <v>2810</v>
      </c>
      <c r="D104" s="11" t="s">
        <v>2811</v>
      </c>
      <c r="E104" s="11" t="s">
        <v>582</v>
      </c>
      <c r="F104" s="11" t="s">
        <v>59</v>
      </c>
      <c r="G104" s="11" t="s">
        <v>60</v>
      </c>
      <c r="H104" s="11" t="s">
        <v>194</v>
      </c>
      <c r="I104" s="11" t="s">
        <v>383</v>
      </c>
      <c r="J104" s="11" t="s">
        <v>583</v>
      </c>
      <c r="K104" s="11" t="s">
        <v>2812</v>
      </c>
      <c r="L104" s="12" t="s">
        <v>23</v>
      </c>
      <c r="M104" s="12" t="s">
        <v>67</v>
      </c>
      <c r="N104" s="11" t="s">
        <v>67</v>
      </c>
      <c r="O104" s="11" t="s">
        <v>68</v>
      </c>
      <c r="P104" s="11">
        <v>1</v>
      </c>
      <c r="Q104" s="11" t="s">
        <v>175</v>
      </c>
      <c r="R104" s="11" t="s">
        <v>67</v>
      </c>
      <c r="S104" s="11" t="s">
        <v>212</v>
      </c>
      <c r="T104" s="11" t="s">
        <v>2813</v>
      </c>
      <c r="U104" s="11" t="s">
        <v>1766</v>
      </c>
      <c r="V104" s="11" t="s">
        <v>2814</v>
      </c>
      <c r="W104" s="23" t="s">
        <v>67</v>
      </c>
      <c r="X104" s="13" t="s">
        <v>67</v>
      </c>
    </row>
    <row r="105" spans="1:24" ht="33.950000000000003" customHeight="1">
      <c r="A105" s="11" t="s">
        <v>55</v>
      </c>
      <c r="B105" s="11" t="s">
        <v>17</v>
      </c>
      <c r="C105" s="11" t="s">
        <v>2815</v>
      </c>
      <c r="D105" s="11" t="s">
        <v>2816</v>
      </c>
      <c r="E105" s="11" t="s">
        <v>582</v>
      </c>
      <c r="F105" s="11" t="s">
        <v>59</v>
      </c>
      <c r="G105" s="11" t="s">
        <v>60</v>
      </c>
      <c r="H105" s="11" t="s">
        <v>200</v>
      </c>
      <c r="I105" s="11" t="s">
        <v>400</v>
      </c>
      <c r="J105" s="11" t="s">
        <v>587</v>
      </c>
      <c r="K105" s="11" t="s">
        <v>2817</v>
      </c>
      <c r="L105" s="12" t="s">
        <v>23</v>
      </c>
      <c r="M105" s="12" t="s">
        <v>67</v>
      </c>
      <c r="N105" s="11" t="s">
        <v>67</v>
      </c>
      <c r="O105" s="11" t="s">
        <v>68</v>
      </c>
      <c r="P105" s="11">
        <v>1</v>
      </c>
      <c r="Q105" s="11" t="s">
        <v>175</v>
      </c>
      <c r="R105" s="11" t="s">
        <v>67</v>
      </c>
      <c r="S105" s="11" t="s">
        <v>212</v>
      </c>
      <c r="T105" s="11" t="s">
        <v>2813</v>
      </c>
      <c r="U105" s="11" t="s">
        <v>1766</v>
      </c>
      <c r="V105" s="11" t="s">
        <v>2814</v>
      </c>
      <c r="W105" s="23" t="s">
        <v>67</v>
      </c>
      <c r="X105" s="13" t="s">
        <v>67</v>
      </c>
    </row>
    <row r="106" spans="1:24" ht="33.950000000000003" customHeight="1">
      <c r="A106" s="11" t="s">
        <v>55</v>
      </c>
      <c r="B106" s="11" t="s">
        <v>17</v>
      </c>
      <c r="C106" s="11" t="s">
        <v>2818</v>
      </c>
      <c r="D106" s="11" t="s">
        <v>2819</v>
      </c>
      <c r="E106" s="11" t="s">
        <v>582</v>
      </c>
      <c r="F106" s="11" t="s">
        <v>59</v>
      </c>
      <c r="G106" s="11" t="s">
        <v>60</v>
      </c>
      <c r="H106" s="11" t="s">
        <v>234</v>
      </c>
      <c r="I106" s="11" t="s">
        <v>2820</v>
      </c>
      <c r="J106" s="11" t="s">
        <v>592</v>
      </c>
      <c r="K106" s="11" t="s">
        <v>2821</v>
      </c>
      <c r="L106" s="12" t="s">
        <v>23</v>
      </c>
      <c r="M106" s="12" t="s">
        <v>67</v>
      </c>
      <c r="N106" s="11" t="s">
        <v>67</v>
      </c>
      <c r="O106" s="11" t="s">
        <v>68</v>
      </c>
      <c r="P106" s="11">
        <v>1</v>
      </c>
      <c r="Q106" s="11" t="s">
        <v>175</v>
      </c>
      <c r="R106" s="11" t="s">
        <v>67</v>
      </c>
      <c r="S106" s="11" t="s">
        <v>212</v>
      </c>
      <c r="T106" s="11" t="s">
        <v>2813</v>
      </c>
      <c r="U106" s="11" t="s">
        <v>1766</v>
      </c>
      <c r="V106" s="11" t="s">
        <v>2814</v>
      </c>
      <c r="W106" s="23" t="s">
        <v>67</v>
      </c>
      <c r="X106" s="13" t="s">
        <v>67</v>
      </c>
    </row>
    <row r="107" spans="1:24" ht="33.950000000000003" customHeight="1">
      <c r="A107" s="11" t="s">
        <v>55</v>
      </c>
      <c r="B107" s="11" t="s">
        <v>17</v>
      </c>
      <c r="C107" s="11" t="s">
        <v>2822</v>
      </c>
      <c r="D107" s="11" t="s">
        <v>2823</v>
      </c>
      <c r="E107" s="11" t="s">
        <v>568</v>
      </c>
      <c r="F107" s="11" t="s">
        <v>59</v>
      </c>
      <c r="G107" s="11" t="s">
        <v>60</v>
      </c>
      <c r="H107" s="11" t="s">
        <v>194</v>
      </c>
      <c r="I107" s="11" t="s">
        <v>383</v>
      </c>
      <c r="J107" s="11" t="s">
        <v>569</v>
      </c>
      <c r="K107" s="11" t="s">
        <v>2824</v>
      </c>
      <c r="L107" s="12" t="s">
        <v>23</v>
      </c>
      <c r="M107" s="12" t="s">
        <v>67</v>
      </c>
      <c r="N107" s="11" t="s">
        <v>67</v>
      </c>
      <c r="O107" s="11" t="s">
        <v>68</v>
      </c>
      <c r="P107" s="11">
        <v>1</v>
      </c>
      <c r="Q107" s="11" t="s">
        <v>175</v>
      </c>
      <c r="R107" s="11" t="s">
        <v>67</v>
      </c>
      <c r="S107" s="11" t="s">
        <v>212</v>
      </c>
      <c r="T107" s="11" t="s">
        <v>2825</v>
      </c>
      <c r="U107" s="11" t="s">
        <v>1766</v>
      </c>
      <c r="V107" s="11" t="s">
        <v>2826</v>
      </c>
      <c r="W107" s="23" t="s">
        <v>67</v>
      </c>
      <c r="X107" s="13" t="s">
        <v>67</v>
      </c>
    </row>
    <row r="108" spans="1:24" ht="33.950000000000003" customHeight="1">
      <c r="A108" s="11" t="s">
        <v>55</v>
      </c>
      <c r="B108" s="11" t="s">
        <v>17</v>
      </c>
      <c r="C108" s="11" t="s">
        <v>2827</v>
      </c>
      <c r="D108" s="11" t="s">
        <v>2828</v>
      </c>
      <c r="E108" s="11" t="s">
        <v>568</v>
      </c>
      <c r="F108" s="11" t="s">
        <v>59</v>
      </c>
      <c r="G108" s="11" t="s">
        <v>60</v>
      </c>
      <c r="H108" s="11" t="s">
        <v>200</v>
      </c>
      <c r="I108" s="11" t="s">
        <v>400</v>
      </c>
      <c r="J108" s="11" t="s">
        <v>573</v>
      </c>
      <c r="K108" s="11" t="s">
        <v>2829</v>
      </c>
      <c r="L108" s="12" t="s">
        <v>23</v>
      </c>
      <c r="M108" s="12" t="s">
        <v>67</v>
      </c>
      <c r="N108" s="11" t="s">
        <v>67</v>
      </c>
      <c r="O108" s="11" t="s">
        <v>68</v>
      </c>
      <c r="P108" s="11">
        <v>1</v>
      </c>
      <c r="Q108" s="11" t="s">
        <v>175</v>
      </c>
      <c r="R108" s="11" t="s">
        <v>67</v>
      </c>
      <c r="S108" s="11" t="s">
        <v>212</v>
      </c>
      <c r="T108" s="11" t="s">
        <v>2825</v>
      </c>
      <c r="U108" s="11" t="s">
        <v>1766</v>
      </c>
      <c r="V108" s="11" t="s">
        <v>2826</v>
      </c>
      <c r="W108" s="23" t="s">
        <v>67</v>
      </c>
      <c r="X108" s="13" t="s">
        <v>67</v>
      </c>
    </row>
    <row r="109" spans="1:24" ht="33.950000000000003" customHeight="1">
      <c r="A109" s="11" t="s">
        <v>55</v>
      </c>
      <c r="B109" s="11" t="s">
        <v>17</v>
      </c>
      <c r="C109" s="11" t="s">
        <v>2830</v>
      </c>
      <c r="D109" s="11" t="s">
        <v>2831</v>
      </c>
      <c r="E109" s="11" t="s">
        <v>568</v>
      </c>
      <c r="F109" s="11" t="s">
        <v>59</v>
      </c>
      <c r="G109" s="11" t="s">
        <v>60</v>
      </c>
      <c r="H109" s="11" t="s">
        <v>234</v>
      </c>
      <c r="I109" s="11" t="s">
        <v>2832</v>
      </c>
      <c r="J109" s="11" t="s">
        <v>578</v>
      </c>
      <c r="K109" s="11" t="s">
        <v>2833</v>
      </c>
      <c r="L109" s="12" t="s">
        <v>23</v>
      </c>
      <c r="M109" s="12" t="s">
        <v>67</v>
      </c>
      <c r="N109" s="11" t="s">
        <v>67</v>
      </c>
      <c r="O109" s="11" t="s">
        <v>68</v>
      </c>
      <c r="P109" s="11">
        <v>1</v>
      </c>
      <c r="Q109" s="11" t="s">
        <v>175</v>
      </c>
      <c r="R109" s="11" t="s">
        <v>67</v>
      </c>
      <c r="S109" s="11" t="s">
        <v>212</v>
      </c>
      <c r="T109" s="11" t="s">
        <v>2825</v>
      </c>
      <c r="U109" s="11" t="s">
        <v>1766</v>
      </c>
      <c r="V109" s="11" t="s">
        <v>2826</v>
      </c>
      <c r="W109" s="23" t="s">
        <v>67</v>
      </c>
      <c r="X109" s="13" t="s">
        <v>67</v>
      </c>
    </row>
    <row r="110" spans="1:24" ht="75.95" customHeight="1">
      <c r="A110" s="11" t="s">
        <v>55</v>
      </c>
      <c r="B110" s="11" t="s">
        <v>17</v>
      </c>
      <c r="C110" s="11" t="s">
        <v>2834</v>
      </c>
      <c r="D110" s="11" t="s">
        <v>2835</v>
      </c>
      <c r="E110" s="11" t="s">
        <v>456</v>
      </c>
      <c r="F110" s="11" t="s">
        <v>59</v>
      </c>
      <c r="G110" s="11" t="s">
        <v>60</v>
      </c>
      <c r="H110" s="11" t="s">
        <v>194</v>
      </c>
      <c r="I110" s="11" t="s">
        <v>224</v>
      </c>
      <c r="J110" s="11" t="s">
        <v>457</v>
      </c>
      <c r="K110" s="11" t="s">
        <v>2836</v>
      </c>
      <c r="L110" s="12" t="s">
        <v>23</v>
      </c>
      <c r="M110" s="12" t="s">
        <v>67</v>
      </c>
      <c r="N110" s="11" t="s">
        <v>67</v>
      </c>
      <c r="O110" s="11" t="s">
        <v>68</v>
      </c>
      <c r="P110" s="11" t="s">
        <v>167</v>
      </c>
      <c r="Q110" s="11" t="s">
        <v>459</v>
      </c>
      <c r="R110" s="11" t="s">
        <v>67</v>
      </c>
      <c r="S110" s="11" t="s">
        <v>212</v>
      </c>
      <c r="T110" s="11" t="s">
        <v>2837</v>
      </c>
      <c r="U110" s="11" t="s">
        <v>1766</v>
      </c>
      <c r="V110" s="11" t="s">
        <v>2838</v>
      </c>
      <c r="W110" s="23" t="s">
        <v>67</v>
      </c>
      <c r="X110" s="13" t="s">
        <v>67</v>
      </c>
    </row>
    <row r="111" spans="1:24" ht="75.95" customHeight="1">
      <c r="A111" s="11" t="s">
        <v>55</v>
      </c>
      <c r="B111" s="11" t="s">
        <v>17</v>
      </c>
      <c r="C111" s="11" t="s">
        <v>2839</v>
      </c>
      <c r="D111" s="11" t="s">
        <v>2840</v>
      </c>
      <c r="E111" s="11" t="s">
        <v>456</v>
      </c>
      <c r="F111" s="11" t="s">
        <v>59</v>
      </c>
      <c r="G111" s="11" t="s">
        <v>60</v>
      </c>
      <c r="H111" s="11" t="s">
        <v>200</v>
      </c>
      <c r="I111" s="11" t="s">
        <v>2841</v>
      </c>
      <c r="J111" s="11" t="s">
        <v>463</v>
      </c>
      <c r="K111" s="11" t="s">
        <v>2842</v>
      </c>
      <c r="L111" s="12" t="s">
        <v>23</v>
      </c>
      <c r="M111" s="12" t="s">
        <v>67</v>
      </c>
      <c r="N111" s="11" t="s">
        <v>67</v>
      </c>
      <c r="O111" s="11" t="s">
        <v>68</v>
      </c>
      <c r="P111" s="11" t="s">
        <v>167</v>
      </c>
      <c r="Q111" s="11" t="s">
        <v>459</v>
      </c>
      <c r="R111" s="11" t="s">
        <v>67</v>
      </c>
      <c r="S111" s="11" t="s">
        <v>212</v>
      </c>
      <c r="T111" s="11" t="s">
        <v>2837</v>
      </c>
      <c r="U111" s="11" t="s">
        <v>1766</v>
      </c>
      <c r="V111" s="11" t="s">
        <v>2838</v>
      </c>
      <c r="W111" s="23" t="s">
        <v>67</v>
      </c>
      <c r="X111" s="13" t="s">
        <v>67</v>
      </c>
    </row>
    <row r="112" spans="1:24" ht="48" customHeight="1">
      <c r="A112" s="11" t="s">
        <v>55</v>
      </c>
      <c r="B112" s="11" t="s">
        <v>17</v>
      </c>
      <c r="C112" s="11" t="s">
        <v>2843</v>
      </c>
      <c r="D112" s="11" t="s">
        <v>2844</v>
      </c>
      <c r="E112" s="11" t="s">
        <v>429</v>
      </c>
      <c r="F112" s="11" t="s">
        <v>59</v>
      </c>
      <c r="G112" s="11" t="s">
        <v>60</v>
      </c>
      <c r="H112" s="11" t="s">
        <v>194</v>
      </c>
      <c r="I112" s="11" t="s">
        <v>224</v>
      </c>
      <c r="J112" s="11" t="s">
        <v>430</v>
      </c>
      <c r="K112" s="11" t="s">
        <v>2845</v>
      </c>
      <c r="L112" s="12" t="s">
        <v>23</v>
      </c>
      <c r="M112" s="12" t="s">
        <v>67</v>
      </c>
      <c r="N112" s="11" t="s">
        <v>67</v>
      </c>
      <c r="O112" s="11" t="s">
        <v>68</v>
      </c>
      <c r="P112" s="11">
        <v>2</v>
      </c>
      <c r="Q112" s="11" t="s">
        <v>432</v>
      </c>
      <c r="R112" s="11" t="s">
        <v>67</v>
      </c>
      <c r="S112" s="11" t="s">
        <v>212</v>
      </c>
      <c r="T112" s="11" t="s">
        <v>2846</v>
      </c>
      <c r="U112" s="11" t="s">
        <v>1766</v>
      </c>
      <c r="V112" s="11" t="s">
        <v>2847</v>
      </c>
      <c r="W112" s="23" t="s">
        <v>67</v>
      </c>
      <c r="X112" s="13" t="s">
        <v>67</v>
      </c>
    </row>
    <row r="113" spans="1:24" ht="48" customHeight="1">
      <c r="A113" s="11" t="s">
        <v>55</v>
      </c>
      <c r="B113" s="11" t="s">
        <v>17</v>
      </c>
      <c r="C113" s="11" t="s">
        <v>2848</v>
      </c>
      <c r="D113" s="11" t="s">
        <v>2849</v>
      </c>
      <c r="E113" s="11" t="s">
        <v>429</v>
      </c>
      <c r="F113" s="11" t="s">
        <v>59</v>
      </c>
      <c r="G113" s="11" t="s">
        <v>60</v>
      </c>
      <c r="H113" s="11" t="s">
        <v>200</v>
      </c>
      <c r="I113" s="11" t="s">
        <v>439</v>
      </c>
      <c r="J113" s="11" t="s">
        <v>440</v>
      </c>
      <c r="K113" s="11" t="s">
        <v>2850</v>
      </c>
      <c r="L113" s="12" t="s">
        <v>23</v>
      </c>
      <c r="M113" s="12" t="s">
        <v>67</v>
      </c>
      <c r="N113" s="11" t="s">
        <v>67</v>
      </c>
      <c r="O113" s="11" t="s">
        <v>68</v>
      </c>
      <c r="P113" s="11">
        <v>2</v>
      </c>
      <c r="Q113" s="11" t="s">
        <v>432</v>
      </c>
      <c r="R113" s="11" t="s">
        <v>67</v>
      </c>
      <c r="S113" s="11" t="s">
        <v>212</v>
      </c>
      <c r="T113" s="11" t="s">
        <v>2846</v>
      </c>
      <c r="U113" s="11" t="s">
        <v>1766</v>
      </c>
      <c r="V113" s="11" t="s">
        <v>2847</v>
      </c>
      <c r="W113" s="23" t="s">
        <v>67</v>
      </c>
      <c r="X113" s="13" t="s">
        <v>67</v>
      </c>
    </row>
    <row r="114" spans="1:24" ht="33.950000000000003" customHeight="1">
      <c r="A114" s="11" t="s">
        <v>55</v>
      </c>
      <c r="B114" s="11" t="s">
        <v>17</v>
      </c>
      <c r="C114" s="11" t="s">
        <v>2851</v>
      </c>
      <c r="D114" s="11" t="s">
        <v>2852</v>
      </c>
      <c r="E114" s="11" t="s">
        <v>2853</v>
      </c>
      <c r="F114" s="11" t="s">
        <v>59</v>
      </c>
      <c r="G114" s="11" t="s">
        <v>60</v>
      </c>
      <c r="H114" s="11" t="s">
        <v>61</v>
      </c>
      <c r="I114" s="11" t="s">
        <v>2854</v>
      </c>
      <c r="J114" s="11" t="s">
        <v>2855</v>
      </c>
      <c r="K114" s="11" t="s">
        <v>2856</v>
      </c>
      <c r="L114" s="12" t="s">
        <v>23</v>
      </c>
      <c r="M114" s="12" t="s">
        <v>67</v>
      </c>
      <c r="N114" s="11" t="s">
        <v>67</v>
      </c>
      <c r="O114" s="11" t="s">
        <v>68</v>
      </c>
      <c r="P114" s="11" t="s">
        <v>244</v>
      </c>
      <c r="Q114" s="11" t="s">
        <v>245</v>
      </c>
      <c r="R114" s="11" t="s">
        <v>67</v>
      </c>
      <c r="S114" s="11" t="s">
        <v>212</v>
      </c>
      <c r="T114" s="11" t="s">
        <v>2857</v>
      </c>
      <c r="U114" s="11" t="s">
        <v>1766</v>
      </c>
      <c r="V114" s="11" t="s">
        <v>2858</v>
      </c>
      <c r="W114" s="23" t="s">
        <v>67</v>
      </c>
      <c r="X114" s="13" t="s">
        <v>67</v>
      </c>
    </row>
    <row r="115" spans="1:24" ht="48" customHeight="1">
      <c r="A115" s="11" t="s">
        <v>55</v>
      </c>
      <c r="B115" s="11" t="s">
        <v>17</v>
      </c>
      <c r="C115" s="11" t="s">
        <v>2859</v>
      </c>
      <c r="D115" s="11" t="s">
        <v>2860</v>
      </c>
      <c r="E115" s="11" t="s">
        <v>2853</v>
      </c>
      <c r="F115" s="11" t="s">
        <v>59</v>
      </c>
      <c r="G115" s="11" t="s">
        <v>60</v>
      </c>
      <c r="H115" s="11" t="s">
        <v>194</v>
      </c>
      <c r="I115" s="11" t="s">
        <v>224</v>
      </c>
      <c r="J115" s="11" t="s">
        <v>2861</v>
      </c>
      <c r="K115" s="11" t="s">
        <v>2862</v>
      </c>
      <c r="L115" s="12" t="s">
        <v>23</v>
      </c>
      <c r="M115" s="12" t="s">
        <v>67</v>
      </c>
      <c r="N115" s="11" t="s">
        <v>67</v>
      </c>
      <c r="O115" s="11" t="s">
        <v>68</v>
      </c>
      <c r="P115" s="11" t="s">
        <v>244</v>
      </c>
      <c r="Q115" s="11" t="s">
        <v>245</v>
      </c>
      <c r="R115" s="11" t="s">
        <v>67</v>
      </c>
      <c r="S115" s="11" t="s">
        <v>212</v>
      </c>
      <c r="T115" s="11" t="s">
        <v>2857</v>
      </c>
      <c r="U115" s="11" t="s">
        <v>1766</v>
      </c>
      <c r="V115" s="11" t="s">
        <v>2863</v>
      </c>
      <c r="W115" s="23" t="s">
        <v>67</v>
      </c>
      <c r="X115" s="13" t="s">
        <v>67</v>
      </c>
    </row>
    <row r="116" spans="1:24" ht="33.950000000000003" customHeight="1">
      <c r="A116" s="11" t="s">
        <v>55</v>
      </c>
      <c r="B116" s="11" t="s">
        <v>17</v>
      </c>
      <c r="C116" s="11" t="s">
        <v>2864</v>
      </c>
      <c r="D116" s="11" t="s">
        <v>2865</v>
      </c>
      <c r="E116" s="11" t="s">
        <v>2853</v>
      </c>
      <c r="F116" s="11" t="s">
        <v>59</v>
      </c>
      <c r="G116" s="11" t="s">
        <v>60</v>
      </c>
      <c r="H116" s="11" t="s">
        <v>200</v>
      </c>
      <c r="I116" s="11" t="s">
        <v>2866</v>
      </c>
      <c r="J116" s="11" t="s">
        <v>2867</v>
      </c>
      <c r="K116" s="11" t="s">
        <v>2868</v>
      </c>
      <c r="L116" s="12" t="s">
        <v>23</v>
      </c>
      <c r="M116" s="12" t="s">
        <v>67</v>
      </c>
      <c r="N116" s="11" t="s">
        <v>67</v>
      </c>
      <c r="O116" s="11" t="s">
        <v>68</v>
      </c>
      <c r="P116" s="11" t="s">
        <v>244</v>
      </c>
      <c r="Q116" s="11" t="s">
        <v>245</v>
      </c>
      <c r="R116" s="11" t="s">
        <v>67</v>
      </c>
      <c r="S116" s="11" t="s">
        <v>212</v>
      </c>
      <c r="T116" s="11" t="s">
        <v>2857</v>
      </c>
      <c r="U116" s="11" t="s">
        <v>1766</v>
      </c>
      <c r="V116" s="11" t="s">
        <v>2863</v>
      </c>
      <c r="W116" s="23" t="s">
        <v>67</v>
      </c>
      <c r="X116" s="13" t="s">
        <v>67</v>
      </c>
    </row>
    <row r="117" spans="1:24" ht="33.950000000000003" customHeight="1">
      <c r="A117" s="11" t="s">
        <v>55</v>
      </c>
      <c r="B117" s="11" t="s">
        <v>17</v>
      </c>
      <c r="C117" s="11" t="s">
        <v>2869</v>
      </c>
      <c r="D117" s="11" t="s">
        <v>2870</v>
      </c>
      <c r="E117" s="11" t="s">
        <v>2871</v>
      </c>
      <c r="F117" s="11" t="s">
        <v>59</v>
      </c>
      <c r="G117" s="11" t="s">
        <v>60</v>
      </c>
      <c r="H117" s="11" t="s">
        <v>61</v>
      </c>
      <c r="I117" s="11" t="s">
        <v>2872</v>
      </c>
      <c r="J117" s="11" t="s">
        <v>2873</v>
      </c>
      <c r="K117" s="11" t="s">
        <v>2874</v>
      </c>
      <c r="L117" s="12" t="s">
        <v>23</v>
      </c>
      <c r="M117" s="12" t="s">
        <v>67</v>
      </c>
      <c r="N117" s="11" t="s">
        <v>67</v>
      </c>
      <c r="O117" s="11" t="s">
        <v>68</v>
      </c>
      <c r="P117" s="11" t="s">
        <v>67</v>
      </c>
      <c r="Q117" s="11" t="s">
        <v>2875</v>
      </c>
      <c r="R117" s="11" t="s">
        <v>67</v>
      </c>
      <c r="S117" s="11" t="s">
        <v>70</v>
      </c>
      <c r="T117" s="11" t="s">
        <v>2421</v>
      </c>
      <c r="U117" s="11" t="s">
        <v>2422</v>
      </c>
      <c r="V117" s="11" t="s">
        <v>2423</v>
      </c>
      <c r="W117" s="23" t="s">
        <v>67</v>
      </c>
      <c r="X117" s="13" t="s">
        <v>67</v>
      </c>
    </row>
    <row r="118" spans="1:24" ht="62.1" customHeight="1">
      <c r="A118" s="11" t="s">
        <v>55</v>
      </c>
      <c r="B118" s="11" t="s">
        <v>17</v>
      </c>
      <c r="C118" s="11" t="s">
        <v>2876</v>
      </c>
      <c r="D118" s="11" t="s">
        <v>2877</v>
      </c>
      <c r="E118" s="11" t="s">
        <v>2871</v>
      </c>
      <c r="F118" s="11" t="s">
        <v>59</v>
      </c>
      <c r="G118" s="11" t="s">
        <v>60</v>
      </c>
      <c r="H118" s="11" t="s">
        <v>194</v>
      </c>
      <c r="I118" s="11" t="s">
        <v>2878</v>
      </c>
      <c r="J118" s="11" t="s">
        <v>2879</v>
      </c>
      <c r="K118" s="11" t="s">
        <v>2880</v>
      </c>
      <c r="L118" s="12" t="s">
        <v>23</v>
      </c>
      <c r="M118" s="12" t="s">
        <v>67</v>
      </c>
      <c r="N118" s="11" t="s">
        <v>67</v>
      </c>
      <c r="O118" s="11" t="s">
        <v>68</v>
      </c>
      <c r="P118" s="11" t="s">
        <v>67</v>
      </c>
      <c r="Q118" s="11" t="s">
        <v>2875</v>
      </c>
      <c r="R118" s="11" t="s">
        <v>67</v>
      </c>
      <c r="S118" s="11" t="s">
        <v>70</v>
      </c>
      <c r="T118" s="11" t="s">
        <v>2881</v>
      </c>
      <c r="U118" s="11" t="s">
        <v>2422</v>
      </c>
      <c r="V118" s="11" t="s">
        <v>2882</v>
      </c>
      <c r="W118" s="23" t="s">
        <v>67</v>
      </c>
      <c r="X118" s="13" t="s">
        <v>67</v>
      </c>
    </row>
    <row r="119" spans="1:24" ht="48" customHeight="1">
      <c r="A119" s="11" t="s">
        <v>55</v>
      </c>
      <c r="B119" s="11" t="s">
        <v>17</v>
      </c>
      <c r="C119" s="11" t="s">
        <v>2883</v>
      </c>
      <c r="D119" s="11" t="s">
        <v>2884</v>
      </c>
      <c r="E119" s="11" t="s">
        <v>2871</v>
      </c>
      <c r="F119" s="11" t="s">
        <v>59</v>
      </c>
      <c r="G119" s="11" t="s">
        <v>60</v>
      </c>
      <c r="H119" s="11" t="s">
        <v>200</v>
      </c>
      <c r="I119" s="11" t="s">
        <v>315</v>
      </c>
      <c r="J119" s="11" t="s">
        <v>2885</v>
      </c>
      <c r="K119" s="11" t="s">
        <v>2886</v>
      </c>
      <c r="L119" s="12" t="s">
        <v>23</v>
      </c>
      <c r="M119" s="12" t="s">
        <v>67</v>
      </c>
      <c r="N119" s="11" t="s">
        <v>67</v>
      </c>
      <c r="O119" s="11" t="s">
        <v>68</v>
      </c>
      <c r="P119" s="11">
        <v>4</v>
      </c>
      <c r="Q119" s="11" t="s">
        <v>2875</v>
      </c>
      <c r="R119" s="11" t="s">
        <v>67</v>
      </c>
      <c r="S119" s="11" t="s">
        <v>212</v>
      </c>
      <c r="T119" s="11" t="s">
        <v>2887</v>
      </c>
      <c r="U119" s="11" t="s">
        <v>1766</v>
      </c>
      <c r="V119" s="11" t="s">
        <v>2888</v>
      </c>
      <c r="W119" s="23" t="s">
        <v>67</v>
      </c>
      <c r="X119" s="13" t="s">
        <v>67</v>
      </c>
    </row>
    <row r="120" spans="1:24" ht="62.1" customHeight="1">
      <c r="A120" s="11" t="s">
        <v>55</v>
      </c>
      <c r="B120" s="11" t="s">
        <v>17</v>
      </c>
      <c r="C120" s="11" t="s">
        <v>2889</v>
      </c>
      <c r="D120" s="11" t="s">
        <v>2890</v>
      </c>
      <c r="E120" s="11" t="s">
        <v>2871</v>
      </c>
      <c r="F120" s="11" t="s">
        <v>59</v>
      </c>
      <c r="G120" s="11" t="s">
        <v>60</v>
      </c>
      <c r="H120" s="11" t="s">
        <v>234</v>
      </c>
      <c r="I120" s="11" t="s">
        <v>2891</v>
      </c>
      <c r="J120" s="11" t="s">
        <v>2892</v>
      </c>
      <c r="K120" s="11" t="s">
        <v>2893</v>
      </c>
      <c r="L120" s="12" t="s">
        <v>23</v>
      </c>
      <c r="M120" s="12" t="s">
        <v>67</v>
      </c>
      <c r="N120" s="11" t="s">
        <v>67</v>
      </c>
      <c r="O120" s="11" t="s">
        <v>68</v>
      </c>
      <c r="P120" s="11" t="s">
        <v>67</v>
      </c>
      <c r="Q120" s="11" t="s">
        <v>2875</v>
      </c>
      <c r="R120" s="11" t="s">
        <v>67</v>
      </c>
      <c r="S120" s="11" t="s">
        <v>70</v>
      </c>
      <c r="T120" s="11" t="s">
        <v>2881</v>
      </c>
      <c r="U120" s="11" t="s">
        <v>2422</v>
      </c>
      <c r="V120" s="11" t="s">
        <v>2882</v>
      </c>
      <c r="W120" s="23" t="s">
        <v>67</v>
      </c>
      <c r="X120" s="13" t="s">
        <v>67</v>
      </c>
    </row>
    <row r="121" spans="1:24" ht="33.950000000000003" customHeight="1">
      <c r="A121" s="11" t="s">
        <v>55</v>
      </c>
      <c r="B121" s="11" t="s">
        <v>17</v>
      </c>
      <c r="C121" s="11" t="s">
        <v>2894</v>
      </c>
      <c r="D121" s="11" t="s">
        <v>2895</v>
      </c>
      <c r="E121" s="11" t="s">
        <v>215</v>
      </c>
      <c r="F121" s="11" t="s">
        <v>59</v>
      </c>
      <c r="G121" s="11" t="s">
        <v>60</v>
      </c>
      <c r="H121" s="11" t="s">
        <v>61</v>
      </c>
      <c r="I121" s="11" t="s">
        <v>216</v>
      </c>
      <c r="J121" s="11" t="s">
        <v>2896</v>
      </c>
      <c r="K121" s="11" t="s">
        <v>2897</v>
      </c>
      <c r="L121" s="12" t="s">
        <v>23</v>
      </c>
      <c r="M121" s="12" t="s">
        <v>67</v>
      </c>
      <c r="N121" s="11" t="s">
        <v>67</v>
      </c>
      <c r="O121" s="11" t="s">
        <v>68</v>
      </c>
      <c r="P121" s="11" t="s">
        <v>220</v>
      </c>
      <c r="Q121" s="11" t="s">
        <v>2898</v>
      </c>
      <c r="R121" s="11" t="s">
        <v>67</v>
      </c>
      <c r="S121" s="11" t="s">
        <v>212</v>
      </c>
      <c r="T121" s="11" t="s">
        <v>2899</v>
      </c>
      <c r="U121" s="11" t="s">
        <v>1766</v>
      </c>
      <c r="V121" s="11" t="s">
        <v>2900</v>
      </c>
      <c r="W121" s="23" t="s">
        <v>67</v>
      </c>
      <c r="X121" s="13" t="s">
        <v>67</v>
      </c>
    </row>
    <row r="122" spans="1:24" ht="48" customHeight="1">
      <c r="A122" s="11" t="s">
        <v>55</v>
      </c>
      <c r="B122" s="11" t="s">
        <v>17</v>
      </c>
      <c r="C122" s="11" t="s">
        <v>2901</v>
      </c>
      <c r="D122" s="11" t="s">
        <v>2902</v>
      </c>
      <c r="E122" s="11" t="s">
        <v>215</v>
      </c>
      <c r="F122" s="11" t="s">
        <v>59</v>
      </c>
      <c r="G122" s="11" t="s">
        <v>60</v>
      </c>
      <c r="H122" s="11" t="s">
        <v>194</v>
      </c>
      <c r="I122" s="11" t="s">
        <v>224</v>
      </c>
      <c r="J122" s="11" t="s">
        <v>225</v>
      </c>
      <c r="K122" s="11" t="s">
        <v>226</v>
      </c>
      <c r="L122" s="12" t="s">
        <v>23</v>
      </c>
      <c r="M122" s="12" t="s">
        <v>67</v>
      </c>
      <c r="N122" s="11" t="s">
        <v>67</v>
      </c>
      <c r="O122" s="11" t="s">
        <v>68</v>
      </c>
      <c r="P122" s="11" t="s">
        <v>220</v>
      </c>
      <c r="Q122" s="11" t="s">
        <v>2898</v>
      </c>
      <c r="R122" s="11" t="s">
        <v>67</v>
      </c>
      <c r="S122" s="11" t="s">
        <v>212</v>
      </c>
      <c r="T122" s="11" t="s">
        <v>2899</v>
      </c>
      <c r="U122" s="11" t="s">
        <v>1766</v>
      </c>
      <c r="V122" s="11" t="s">
        <v>2900</v>
      </c>
      <c r="W122" s="23" t="s">
        <v>67</v>
      </c>
      <c r="X122" s="13" t="s">
        <v>67</v>
      </c>
    </row>
    <row r="123" spans="1:24" ht="33.950000000000003" customHeight="1">
      <c r="A123" s="11" t="s">
        <v>55</v>
      </c>
      <c r="B123" s="11" t="s">
        <v>17</v>
      </c>
      <c r="C123" s="11" t="s">
        <v>2903</v>
      </c>
      <c r="D123" s="11" t="s">
        <v>2904</v>
      </c>
      <c r="E123" s="11" t="s">
        <v>215</v>
      </c>
      <c r="F123" s="11" t="s">
        <v>59</v>
      </c>
      <c r="G123" s="11" t="s">
        <v>60</v>
      </c>
      <c r="H123" s="11" t="s">
        <v>200</v>
      </c>
      <c r="I123" s="11" t="s">
        <v>229</v>
      </c>
      <c r="J123" s="11" t="s">
        <v>230</v>
      </c>
      <c r="K123" s="11" t="s">
        <v>231</v>
      </c>
      <c r="L123" s="12" t="s">
        <v>23</v>
      </c>
      <c r="M123" s="12" t="s">
        <v>67</v>
      </c>
      <c r="N123" s="11" t="s">
        <v>67</v>
      </c>
      <c r="O123" s="11" t="s">
        <v>68</v>
      </c>
      <c r="P123" s="11" t="s">
        <v>220</v>
      </c>
      <c r="Q123" s="11" t="s">
        <v>2898</v>
      </c>
      <c r="R123" s="11" t="s">
        <v>67</v>
      </c>
      <c r="S123" s="11" t="s">
        <v>212</v>
      </c>
      <c r="T123" s="11" t="s">
        <v>2899</v>
      </c>
      <c r="U123" s="11" t="s">
        <v>1766</v>
      </c>
      <c r="V123" s="11" t="s">
        <v>2900</v>
      </c>
      <c r="W123" s="23" t="s">
        <v>67</v>
      </c>
      <c r="X123" s="13" t="s">
        <v>67</v>
      </c>
    </row>
    <row r="124" spans="1:24" ht="90" customHeight="1">
      <c r="A124" s="11" t="s">
        <v>55</v>
      </c>
      <c r="B124" s="11" t="s">
        <v>17</v>
      </c>
      <c r="C124" s="11" t="s">
        <v>2905</v>
      </c>
      <c r="D124" s="11" t="s">
        <v>2906</v>
      </c>
      <c r="E124" s="11" t="s">
        <v>215</v>
      </c>
      <c r="F124" s="11" t="s">
        <v>59</v>
      </c>
      <c r="G124" s="11" t="s">
        <v>60</v>
      </c>
      <c r="H124" s="11" t="s">
        <v>234</v>
      </c>
      <c r="I124" s="11" t="s">
        <v>235</v>
      </c>
      <c r="J124" s="11" t="s">
        <v>67</v>
      </c>
      <c r="K124" s="11" t="s">
        <v>2907</v>
      </c>
      <c r="L124" s="12" t="s">
        <v>25</v>
      </c>
      <c r="M124" s="12" t="s">
        <v>67</v>
      </c>
      <c r="N124" s="11" t="s">
        <v>237</v>
      </c>
      <c r="O124" s="11" t="s">
        <v>68</v>
      </c>
      <c r="P124" s="11" t="s">
        <v>220</v>
      </c>
      <c r="Q124" s="11" t="s">
        <v>2898</v>
      </c>
      <c r="R124" s="11" t="s">
        <v>67</v>
      </c>
      <c r="S124" s="11" t="s">
        <v>212</v>
      </c>
      <c r="T124" s="11" t="s">
        <v>2899</v>
      </c>
      <c r="U124" s="11" t="s">
        <v>1766</v>
      </c>
      <c r="V124" s="11" t="s">
        <v>2900</v>
      </c>
      <c r="W124" s="23" t="s">
        <v>67</v>
      </c>
      <c r="X124" s="13" t="s">
        <v>67</v>
      </c>
    </row>
    <row r="125" spans="1:24" ht="62.1" customHeight="1">
      <c r="A125" s="11" t="s">
        <v>55</v>
      </c>
      <c r="B125" s="11" t="s">
        <v>17</v>
      </c>
      <c r="C125" s="11" t="s">
        <v>2908</v>
      </c>
      <c r="D125" s="11" t="s">
        <v>2909</v>
      </c>
      <c r="E125" s="11" t="s">
        <v>2910</v>
      </c>
      <c r="F125" s="11" t="s">
        <v>996</v>
      </c>
      <c r="G125" s="11" t="s">
        <v>979</v>
      </c>
      <c r="H125" s="11" t="s">
        <v>996</v>
      </c>
      <c r="I125" s="11" t="s">
        <v>2911</v>
      </c>
      <c r="J125" s="11" t="s">
        <v>67</v>
      </c>
      <c r="K125" s="11" t="s">
        <v>2912</v>
      </c>
      <c r="L125" s="12" t="s">
        <v>25</v>
      </c>
      <c r="M125" s="12" t="s">
        <v>67</v>
      </c>
      <c r="N125" s="11" t="s">
        <v>2913</v>
      </c>
      <c r="O125" s="11" t="s">
        <v>68</v>
      </c>
      <c r="P125" s="11" t="s">
        <v>2914</v>
      </c>
      <c r="Q125" s="11" t="s">
        <v>67</v>
      </c>
      <c r="R125" s="11" t="s">
        <v>67</v>
      </c>
      <c r="S125" s="11" t="s">
        <v>212</v>
      </c>
      <c r="T125" s="11" t="s">
        <v>13</v>
      </c>
      <c r="U125" s="11" t="s">
        <v>1766</v>
      </c>
      <c r="V125" s="11" t="s">
        <v>2915</v>
      </c>
      <c r="W125" s="23" t="s">
        <v>67</v>
      </c>
      <c r="X125" s="13" t="s">
        <v>67</v>
      </c>
    </row>
    <row r="126" spans="1:24" ht="48" customHeight="1">
      <c r="A126" s="11" t="s">
        <v>55</v>
      </c>
      <c r="B126" s="11" t="s">
        <v>17</v>
      </c>
      <c r="C126" s="11" t="s">
        <v>2916</v>
      </c>
      <c r="D126" s="11" t="s">
        <v>2917</v>
      </c>
      <c r="E126" s="11" t="s">
        <v>2918</v>
      </c>
      <c r="F126" s="11" t="s">
        <v>978</v>
      </c>
      <c r="G126" s="11" t="s">
        <v>979</v>
      </c>
      <c r="H126" s="11" t="s">
        <v>980</v>
      </c>
      <c r="I126" s="11" t="s">
        <v>2919</v>
      </c>
      <c r="J126" s="11" t="s">
        <v>67</v>
      </c>
      <c r="K126" s="11" t="s">
        <v>2920</v>
      </c>
      <c r="L126" s="12" t="s">
        <v>25</v>
      </c>
      <c r="M126" s="12" t="s">
        <v>67</v>
      </c>
      <c r="N126" s="11" t="s">
        <v>983</v>
      </c>
      <c r="O126" s="11" t="s">
        <v>68</v>
      </c>
      <c r="P126" s="11" t="s">
        <v>2914</v>
      </c>
      <c r="Q126" s="11" t="s">
        <v>2875</v>
      </c>
      <c r="R126" s="11" t="s">
        <v>67</v>
      </c>
      <c r="S126" s="11" t="s">
        <v>212</v>
      </c>
      <c r="T126" s="11" t="s">
        <v>2921</v>
      </c>
      <c r="U126" s="11" t="s">
        <v>1766</v>
      </c>
      <c r="V126" s="11" t="s">
        <v>2922</v>
      </c>
      <c r="W126" s="23" t="s">
        <v>67</v>
      </c>
      <c r="X126" s="13" t="s">
        <v>67</v>
      </c>
    </row>
    <row r="127" spans="1:24" ht="90" customHeight="1">
      <c r="A127" s="11" t="s">
        <v>55</v>
      </c>
      <c r="B127" s="11" t="s">
        <v>17</v>
      </c>
      <c r="C127" s="11" t="s">
        <v>2923</v>
      </c>
      <c r="D127" s="11" t="s">
        <v>2924</v>
      </c>
      <c r="E127" s="11" t="s">
        <v>2925</v>
      </c>
      <c r="F127" s="11" t="s">
        <v>996</v>
      </c>
      <c r="G127" s="11" t="s">
        <v>979</v>
      </c>
      <c r="H127" s="11" t="s">
        <v>996</v>
      </c>
      <c r="I127" s="11" t="s">
        <v>2926</v>
      </c>
      <c r="J127" s="11" t="s">
        <v>67</v>
      </c>
      <c r="K127" s="11" t="s">
        <v>2927</v>
      </c>
      <c r="L127" s="12" t="s">
        <v>25</v>
      </c>
      <c r="M127" s="12" t="s">
        <v>67</v>
      </c>
      <c r="N127" s="11" t="s">
        <v>2913</v>
      </c>
      <c r="O127" s="11" t="s">
        <v>68</v>
      </c>
      <c r="P127" s="11" t="s">
        <v>1001</v>
      </c>
      <c r="Q127" s="11" t="s">
        <v>2928</v>
      </c>
      <c r="R127" s="11" t="s">
        <v>67</v>
      </c>
      <c r="S127" s="11" t="s">
        <v>212</v>
      </c>
      <c r="T127" s="11" t="s">
        <v>67</v>
      </c>
      <c r="U127" s="11" t="s">
        <v>1766</v>
      </c>
      <c r="V127" s="11" t="s">
        <v>2929</v>
      </c>
      <c r="W127" s="23" t="s">
        <v>67</v>
      </c>
      <c r="X127" s="13" t="s">
        <v>67</v>
      </c>
    </row>
  </sheetData>
  <autoFilter ref="W1" xr:uid="{00000000-0001-0000-0300-000000000000}"/>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16"/>
  <sheetViews>
    <sheetView showGridLines="0" workbookViewId="0">
      <selection activeCell="B2" sqref="B2"/>
    </sheetView>
  </sheetViews>
  <sheetFormatPr defaultRowHeight="14.1"/>
  <cols>
    <col min="1" max="1" width="14" customWidth="1"/>
    <col min="2" max="2" width="13" customWidth="1"/>
    <col min="3" max="3" width="16" customWidth="1"/>
    <col min="4" max="4" width="27" customWidth="1"/>
    <col min="5" max="5" width="32" customWidth="1"/>
    <col min="6" max="6" width="14" customWidth="1"/>
    <col min="7" max="7" width="13" customWidth="1"/>
    <col min="8" max="8" width="18" customWidth="1"/>
    <col min="9" max="9" width="48" customWidth="1"/>
    <col min="10" max="10" width="26.625" customWidth="1"/>
    <col min="11" max="11" width="60.875" customWidth="1"/>
    <col min="12" max="12" width="50" customWidth="1"/>
    <col min="13" max="13" width="17" customWidth="1"/>
    <col min="14" max="14" width="20" customWidth="1"/>
    <col min="15" max="15" width="36" customWidth="1"/>
    <col min="16" max="16" width="12" customWidth="1"/>
    <col min="17" max="17" width="24" customWidth="1"/>
    <col min="18" max="18" width="46" customWidth="1"/>
    <col min="19" max="19" width="34" customWidth="1"/>
    <col min="20" max="20" width="44" customWidth="1"/>
    <col min="21" max="21" width="24" customWidth="1"/>
    <col min="22" max="22" width="52" customWidth="1"/>
    <col min="23" max="23" width="20" customWidth="1"/>
    <col min="24" max="24" width="28" customWidth="1"/>
    <col min="25" max="25" width="48" customWidth="1"/>
  </cols>
  <sheetData>
    <row r="1" spans="1:25" ht="36.950000000000003" customHeight="1">
      <c r="A1" s="9" t="s">
        <v>33</v>
      </c>
      <c r="B1" s="9" t="s">
        <v>2</v>
      </c>
      <c r="C1" s="9" t="s">
        <v>34</v>
      </c>
      <c r="D1" s="9" t="s">
        <v>35</v>
      </c>
      <c r="E1" s="9" t="s">
        <v>36</v>
      </c>
      <c r="F1" s="9" t="s">
        <v>37</v>
      </c>
      <c r="G1" s="9" t="s">
        <v>38</v>
      </c>
      <c r="H1" s="9" t="s">
        <v>39</v>
      </c>
      <c r="I1" s="9" t="s">
        <v>40</v>
      </c>
      <c r="J1" s="9" t="s">
        <v>41</v>
      </c>
      <c r="K1" s="9" t="s">
        <v>42</v>
      </c>
      <c r="L1" s="9" t="s">
        <v>43</v>
      </c>
      <c r="M1" s="9" t="s">
        <v>45</v>
      </c>
      <c r="N1" s="9" t="s">
        <v>46</v>
      </c>
      <c r="O1" s="9" t="s">
        <v>47</v>
      </c>
      <c r="P1" s="9" t="s">
        <v>48</v>
      </c>
      <c r="Q1" s="9" t="s">
        <v>49</v>
      </c>
      <c r="R1" s="9" t="s">
        <v>50</v>
      </c>
      <c r="S1" s="9" t="s">
        <v>1126</v>
      </c>
      <c r="T1" s="9" t="s">
        <v>1127</v>
      </c>
      <c r="U1" s="9" t="s">
        <v>1128</v>
      </c>
      <c r="V1" s="9" t="s">
        <v>2930</v>
      </c>
      <c r="W1" s="9" t="s">
        <v>2931</v>
      </c>
      <c r="X1" s="9" t="s">
        <v>52</v>
      </c>
      <c r="Y1" s="10" t="s">
        <v>51</v>
      </c>
    </row>
    <row r="2" spans="1:25" ht="48" customHeight="1">
      <c r="A2" s="11" t="s">
        <v>55</v>
      </c>
      <c r="B2" s="11" t="s">
        <v>13</v>
      </c>
      <c r="C2" s="11" t="s">
        <v>2932</v>
      </c>
      <c r="D2" s="11" t="s">
        <v>2933</v>
      </c>
      <c r="E2" s="11" t="s">
        <v>2934</v>
      </c>
      <c r="F2" s="11" t="s">
        <v>1870</v>
      </c>
      <c r="G2" s="11" t="s">
        <v>60</v>
      </c>
      <c r="H2" s="11" t="s">
        <v>1871</v>
      </c>
      <c r="I2" s="11" t="s">
        <v>2935</v>
      </c>
      <c r="J2" s="11" t="s">
        <v>67</v>
      </c>
      <c r="K2" s="11" t="s">
        <v>2936</v>
      </c>
      <c r="L2" s="12" t="s">
        <v>25</v>
      </c>
      <c r="M2" s="11" t="s">
        <v>2937</v>
      </c>
      <c r="N2" s="11" t="s">
        <v>67</v>
      </c>
      <c r="O2" s="11" t="s">
        <v>67</v>
      </c>
      <c r="P2" s="11" t="s">
        <v>67</v>
      </c>
      <c r="Q2" s="11" t="s">
        <v>67</v>
      </c>
      <c r="R2" s="11" t="s">
        <v>212</v>
      </c>
      <c r="S2" s="11" t="s">
        <v>2938</v>
      </c>
      <c r="T2" s="11" t="s">
        <v>1766</v>
      </c>
      <c r="U2" s="11" t="s">
        <v>2939</v>
      </c>
      <c r="V2" s="11" t="s">
        <v>2940</v>
      </c>
      <c r="W2" s="11" t="s">
        <v>2937</v>
      </c>
      <c r="X2" s="23" t="s">
        <v>67</v>
      </c>
      <c r="Y2" s="13" t="s">
        <v>67</v>
      </c>
    </row>
    <row r="3" spans="1:25" ht="48" customHeight="1">
      <c r="A3" s="11" t="s">
        <v>55</v>
      </c>
      <c r="B3" s="11" t="s">
        <v>17</v>
      </c>
      <c r="C3" s="11" t="s">
        <v>2941</v>
      </c>
      <c r="D3" s="11" t="s">
        <v>2942</v>
      </c>
      <c r="E3" s="11" t="s">
        <v>2934</v>
      </c>
      <c r="F3" s="11" t="s">
        <v>1870</v>
      </c>
      <c r="G3" s="11" t="s">
        <v>60</v>
      </c>
      <c r="H3" s="11" t="s">
        <v>1871</v>
      </c>
      <c r="I3" s="11" t="s">
        <v>2943</v>
      </c>
      <c r="J3" s="11" t="s">
        <v>67</v>
      </c>
      <c r="K3" s="11" t="s">
        <v>2944</v>
      </c>
      <c r="L3" s="12" t="s">
        <v>25</v>
      </c>
      <c r="M3" s="11" t="s">
        <v>2945</v>
      </c>
      <c r="N3" s="11" t="s">
        <v>67</v>
      </c>
      <c r="O3" s="11" t="s">
        <v>67</v>
      </c>
      <c r="P3" s="11" t="s">
        <v>67</v>
      </c>
      <c r="Q3" s="11" t="s">
        <v>67</v>
      </c>
      <c r="R3" s="11" t="s">
        <v>212</v>
      </c>
      <c r="S3" s="11" t="s">
        <v>2938</v>
      </c>
      <c r="T3" s="11" t="s">
        <v>1766</v>
      </c>
      <c r="U3" s="11" t="s">
        <v>2946</v>
      </c>
      <c r="V3" s="11" t="s">
        <v>2940</v>
      </c>
      <c r="W3" s="11" t="s">
        <v>2945</v>
      </c>
      <c r="X3" s="23" t="s">
        <v>67</v>
      </c>
      <c r="Y3" s="13" t="s">
        <v>67</v>
      </c>
    </row>
    <row r="4" spans="1:25" ht="48" customHeight="1">
      <c r="A4" s="11" t="s">
        <v>55</v>
      </c>
      <c r="B4" s="11" t="s">
        <v>13</v>
      </c>
      <c r="C4" s="11" t="s">
        <v>2947</v>
      </c>
      <c r="D4" s="11" t="s">
        <v>2948</v>
      </c>
      <c r="E4" s="11" t="s">
        <v>2934</v>
      </c>
      <c r="F4" s="11" t="s">
        <v>1870</v>
      </c>
      <c r="G4" s="11" t="s">
        <v>60</v>
      </c>
      <c r="H4" s="11" t="s">
        <v>1871</v>
      </c>
      <c r="I4" s="11" t="s">
        <v>2949</v>
      </c>
      <c r="J4" s="11" t="s">
        <v>67</v>
      </c>
      <c r="K4" s="11" t="s">
        <v>2950</v>
      </c>
      <c r="L4" s="12" t="s">
        <v>25</v>
      </c>
      <c r="M4" s="11" t="s">
        <v>2937</v>
      </c>
      <c r="N4" s="11" t="s">
        <v>67</v>
      </c>
      <c r="O4" s="11" t="s">
        <v>67</v>
      </c>
      <c r="P4" s="11" t="s">
        <v>67</v>
      </c>
      <c r="Q4" s="11" t="s">
        <v>67</v>
      </c>
      <c r="R4" s="11" t="s">
        <v>212</v>
      </c>
      <c r="S4" s="11" t="s">
        <v>2938</v>
      </c>
      <c r="T4" s="11" t="s">
        <v>1766</v>
      </c>
      <c r="U4" s="11" t="s">
        <v>2951</v>
      </c>
      <c r="V4" s="11" t="s">
        <v>2940</v>
      </c>
      <c r="W4" s="11" t="s">
        <v>2937</v>
      </c>
      <c r="X4" s="23" t="s">
        <v>67</v>
      </c>
      <c r="Y4" s="13" t="s">
        <v>67</v>
      </c>
    </row>
    <row r="5" spans="1:25" ht="48" customHeight="1">
      <c r="A5" s="11" t="s">
        <v>55</v>
      </c>
      <c r="B5" s="11" t="s">
        <v>17</v>
      </c>
      <c r="C5" s="11" t="s">
        <v>2947</v>
      </c>
      <c r="D5" s="11" t="s">
        <v>2952</v>
      </c>
      <c r="E5" s="11" t="s">
        <v>2934</v>
      </c>
      <c r="F5" s="11" t="s">
        <v>1870</v>
      </c>
      <c r="G5" s="11" t="s">
        <v>60</v>
      </c>
      <c r="H5" s="11" t="s">
        <v>1871</v>
      </c>
      <c r="I5" s="11" t="s">
        <v>2949</v>
      </c>
      <c r="J5" s="11" t="s">
        <v>67</v>
      </c>
      <c r="K5" s="11" t="s">
        <v>2950</v>
      </c>
      <c r="L5" s="12" t="s">
        <v>25</v>
      </c>
      <c r="M5" s="11" t="s">
        <v>2945</v>
      </c>
      <c r="N5" s="11" t="s">
        <v>67</v>
      </c>
      <c r="O5" s="11" t="s">
        <v>67</v>
      </c>
      <c r="P5" s="11" t="s">
        <v>67</v>
      </c>
      <c r="Q5" s="11" t="s">
        <v>67</v>
      </c>
      <c r="R5" s="11" t="s">
        <v>212</v>
      </c>
      <c r="S5" s="11" t="s">
        <v>2938</v>
      </c>
      <c r="T5" s="11" t="s">
        <v>1766</v>
      </c>
      <c r="U5" s="11" t="s">
        <v>2951</v>
      </c>
      <c r="V5" s="11" t="s">
        <v>2940</v>
      </c>
      <c r="W5" s="11" t="s">
        <v>2945</v>
      </c>
      <c r="X5" s="23" t="s">
        <v>67</v>
      </c>
      <c r="Y5" s="13" t="s">
        <v>67</v>
      </c>
    </row>
    <row r="6" spans="1:25" ht="90" customHeight="1">
      <c r="A6" s="11" t="s">
        <v>55</v>
      </c>
      <c r="B6" s="11" t="s">
        <v>13</v>
      </c>
      <c r="C6" s="11" t="s">
        <v>2953</v>
      </c>
      <c r="D6" s="11" t="s">
        <v>2954</v>
      </c>
      <c r="E6" s="11" t="s">
        <v>2955</v>
      </c>
      <c r="F6" s="11" t="s">
        <v>59</v>
      </c>
      <c r="G6" s="11" t="s">
        <v>60</v>
      </c>
      <c r="H6" s="11" t="s">
        <v>194</v>
      </c>
      <c r="I6" s="11" t="s">
        <v>911</v>
      </c>
      <c r="J6" s="11" t="s">
        <v>67</v>
      </c>
      <c r="K6" s="11" t="s">
        <v>2956</v>
      </c>
      <c r="L6" s="12" t="s">
        <v>25</v>
      </c>
      <c r="M6" s="11" t="s">
        <v>2957</v>
      </c>
      <c r="N6" s="11" t="s">
        <v>2958</v>
      </c>
      <c r="O6" s="11">
        <v>200</v>
      </c>
      <c r="P6" s="11" t="s">
        <v>67</v>
      </c>
      <c r="Q6" s="11" t="s">
        <v>67</v>
      </c>
      <c r="R6" s="11" t="s">
        <v>212</v>
      </c>
      <c r="S6" s="11" t="s">
        <v>67</v>
      </c>
      <c r="T6" s="11" t="s">
        <v>1766</v>
      </c>
      <c r="U6" s="11" t="s">
        <v>2959</v>
      </c>
      <c r="V6" s="11" t="s">
        <v>2940</v>
      </c>
      <c r="W6" s="11" t="s">
        <v>2957</v>
      </c>
      <c r="X6" s="23" t="s">
        <v>67</v>
      </c>
      <c r="Y6" s="13" t="s">
        <v>67</v>
      </c>
    </row>
    <row r="7" spans="1:25" ht="104.1" customHeight="1">
      <c r="A7" s="11" t="s">
        <v>55</v>
      </c>
      <c r="B7" s="11" t="s">
        <v>17</v>
      </c>
      <c r="C7" s="11" t="s">
        <v>2960</v>
      </c>
      <c r="D7" s="11" t="s">
        <v>2961</v>
      </c>
      <c r="E7" s="11" t="s">
        <v>2955</v>
      </c>
      <c r="F7" s="11" t="s">
        <v>59</v>
      </c>
      <c r="G7" s="11" t="s">
        <v>60</v>
      </c>
      <c r="H7" s="11" t="s">
        <v>194</v>
      </c>
      <c r="I7" s="11" t="s">
        <v>911</v>
      </c>
      <c r="J7" s="11" t="s">
        <v>67</v>
      </c>
      <c r="K7" s="11" t="s">
        <v>2956</v>
      </c>
      <c r="L7" s="12" t="s">
        <v>25</v>
      </c>
      <c r="M7" s="11" t="s">
        <v>2962</v>
      </c>
      <c r="N7" s="11" t="s">
        <v>2958</v>
      </c>
      <c r="O7" s="11">
        <v>200</v>
      </c>
      <c r="P7" s="11" t="s">
        <v>67</v>
      </c>
      <c r="Q7" s="11" t="s">
        <v>67</v>
      </c>
      <c r="R7" s="11" t="s">
        <v>212</v>
      </c>
      <c r="S7" s="11" t="s">
        <v>67</v>
      </c>
      <c r="T7" s="11" t="s">
        <v>1766</v>
      </c>
      <c r="U7" s="11" t="s">
        <v>2963</v>
      </c>
      <c r="V7" s="11" t="s">
        <v>2940</v>
      </c>
      <c r="W7" s="11" t="s">
        <v>2962</v>
      </c>
      <c r="X7" s="23" t="s">
        <v>67</v>
      </c>
      <c r="Y7" s="13" t="s">
        <v>67</v>
      </c>
    </row>
    <row r="8" spans="1:25" ht="90" customHeight="1">
      <c r="A8" s="11" t="s">
        <v>55</v>
      </c>
      <c r="B8" s="11" t="s">
        <v>13</v>
      </c>
      <c r="C8" s="11" t="s">
        <v>2964</v>
      </c>
      <c r="D8" s="11" t="s">
        <v>2965</v>
      </c>
      <c r="E8" s="11" t="s">
        <v>2955</v>
      </c>
      <c r="F8" s="11" t="s">
        <v>59</v>
      </c>
      <c r="G8" s="11" t="s">
        <v>60</v>
      </c>
      <c r="H8" s="11" t="s">
        <v>200</v>
      </c>
      <c r="I8" s="11" t="s">
        <v>2966</v>
      </c>
      <c r="J8" s="11" t="s">
        <v>67</v>
      </c>
      <c r="K8" s="11" t="s">
        <v>2967</v>
      </c>
      <c r="L8" s="12" t="s">
        <v>25</v>
      </c>
      <c r="M8" s="11" t="s">
        <v>2957</v>
      </c>
      <c r="N8" s="11" t="s">
        <v>2958</v>
      </c>
      <c r="O8" s="11">
        <v>200</v>
      </c>
      <c r="P8" s="11" t="s">
        <v>67</v>
      </c>
      <c r="Q8" s="11" t="s">
        <v>67</v>
      </c>
      <c r="R8" s="11" t="s">
        <v>212</v>
      </c>
      <c r="S8" s="11" t="s">
        <v>67</v>
      </c>
      <c r="T8" s="11" t="s">
        <v>1766</v>
      </c>
      <c r="U8" s="11" t="s">
        <v>2959</v>
      </c>
      <c r="V8" s="11" t="s">
        <v>2940</v>
      </c>
      <c r="W8" s="11" t="s">
        <v>2957</v>
      </c>
      <c r="X8" s="23" t="s">
        <v>67</v>
      </c>
      <c r="Y8" s="13" t="s">
        <v>67</v>
      </c>
    </row>
    <row r="9" spans="1:25" ht="104.1" customHeight="1">
      <c r="A9" s="11" t="s">
        <v>55</v>
      </c>
      <c r="B9" s="11" t="s">
        <v>17</v>
      </c>
      <c r="C9" s="11" t="s">
        <v>2968</v>
      </c>
      <c r="D9" s="11" t="s">
        <v>2969</v>
      </c>
      <c r="E9" s="11" t="s">
        <v>2955</v>
      </c>
      <c r="F9" s="11" t="s">
        <v>59</v>
      </c>
      <c r="G9" s="11" t="s">
        <v>60</v>
      </c>
      <c r="H9" s="11" t="s">
        <v>200</v>
      </c>
      <c r="I9" s="11" t="s">
        <v>2966</v>
      </c>
      <c r="J9" s="11" t="s">
        <v>67</v>
      </c>
      <c r="K9" s="11" t="s">
        <v>2967</v>
      </c>
      <c r="L9" s="12" t="s">
        <v>25</v>
      </c>
      <c r="M9" s="11" t="s">
        <v>2962</v>
      </c>
      <c r="N9" s="11" t="s">
        <v>2958</v>
      </c>
      <c r="O9" s="11">
        <v>200</v>
      </c>
      <c r="P9" s="11" t="s">
        <v>67</v>
      </c>
      <c r="Q9" s="11" t="s">
        <v>67</v>
      </c>
      <c r="R9" s="11" t="s">
        <v>212</v>
      </c>
      <c r="S9" s="11" t="s">
        <v>67</v>
      </c>
      <c r="T9" s="11" t="s">
        <v>1766</v>
      </c>
      <c r="U9" s="11" t="s">
        <v>2963</v>
      </c>
      <c r="V9" s="11" t="s">
        <v>2940</v>
      </c>
      <c r="W9" s="11" t="s">
        <v>2962</v>
      </c>
      <c r="X9" s="23" t="s">
        <v>67</v>
      </c>
      <c r="Y9" s="13" t="s">
        <v>67</v>
      </c>
    </row>
    <row r="10" spans="1:25" ht="48" customHeight="1">
      <c r="A10" s="11" t="s">
        <v>55</v>
      </c>
      <c r="B10" s="11" t="s">
        <v>13</v>
      </c>
      <c r="C10" s="11" t="s">
        <v>2970</v>
      </c>
      <c r="D10" s="11" t="s">
        <v>2971</v>
      </c>
      <c r="E10" s="11" t="s">
        <v>2972</v>
      </c>
      <c r="F10" s="11" t="s">
        <v>59</v>
      </c>
      <c r="G10" s="11" t="s">
        <v>60</v>
      </c>
      <c r="H10" s="11" t="s">
        <v>61</v>
      </c>
      <c r="I10" s="11" t="s">
        <v>2973</v>
      </c>
      <c r="J10" s="11" t="s">
        <v>67</v>
      </c>
      <c r="K10" s="11" t="s">
        <v>2974</v>
      </c>
      <c r="L10" s="12" t="s">
        <v>25</v>
      </c>
      <c r="M10" s="11" t="s">
        <v>2975</v>
      </c>
      <c r="N10" s="11" t="s">
        <v>2976</v>
      </c>
      <c r="O10" s="11">
        <v>10</v>
      </c>
      <c r="P10" s="11" t="s">
        <v>343</v>
      </c>
      <c r="Q10" s="11" t="s">
        <v>67</v>
      </c>
      <c r="R10" s="11" t="s">
        <v>212</v>
      </c>
      <c r="S10" s="11" t="s">
        <v>2977</v>
      </c>
      <c r="T10" s="11" t="s">
        <v>1766</v>
      </c>
      <c r="U10" s="11" t="s">
        <v>2978</v>
      </c>
      <c r="V10" s="11" t="s">
        <v>2940</v>
      </c>
      <c r="W10" s="11" t="s">
        <v>2975</v>
      </c>
      <c r="X10" s="23" t="s">
        <v>67</v>
      </c>
      <c r="Y10" s="13" t="s">
        <v>67</v>
      </c>
    </row>
    <row r="11" spans="1:25" ht="48" customHeight="1">
      <c r="A11" s="11" t="s">
        <v>55</v>
      </c>
      <c r="B11" s="11" t="s">
        <v>17</v>
      </c>
      <c r="C11" s="11" t="s">
        <v>2979</v>
      </c>
      <c r="D11" s="11" t="s">
        <v>2980</v>
      </c>
      <c r="E11" s="11" t="s">
        <v>2972</v>
      </c>
      <c r="F11" s="11" t="s">
        <v>59</v>
      </c>
      <c r="G11" s="11" t="s">
        <v>60</v>
      </c>
      <c r="H11" s="11" t="s">
        <v>61</v>
      </c>
      <c r="I11" s="11" t="s">
        <v>2973</v>
      </c>
      <c r="J11" s="11" t="s">
        <v>67</v>
      </c>
      <c r="K11" s="11" t="s">
        <v>2974</v>
      </c>
      <c r="L11" s="12" t="s">
        <v>25</v>
      </c>
      <c r="M11" s="11" t="s">
        <v>2981</v>
      </c>
      <c r="N11" s="11" t="s">
        <v>2976</v>
      </c>
      <c r="O11" s="11">
        <v>10</v>
      </c>
      <c r="P11" s="11" t="s">
        <v>343</v>
      </c>
      <c r="Q11" s="11" t="s">
        <v>67</v>
      </c>
      <c r="R11" s="11" t="s">
        <v>212</v>
      </c>
      <c r="S11" s="11" t="s">
        <v>2977</v>
      </c>
      <c r="T11" s="11" t="s">
        <v>1766</v>
      </c>
      <c r="U11" s="11" t="s">
        <v>2982</v>
      </c>
      <c r="V11" s="11" t="s">
        <v>2940</v>
      </c>
      <c r="W11" s="11" t="s">
        <v>2981</v>
      </c>
      <c r="X11" s="23" t="s">
        <v>67</v>
      </c>
      <c r="Y11" s="13" t="s">
        <v>67</v>
      </c>
    </row>
    <row r="12" spans="1:25" ht="48" customHeight="1">
      <c r="A12" s="11" t="s">
        <v>55</v>
      </c>
      <c r="B12" s="11" t="s">
        <v>13</v>
      </c>
      <c r="C12" s="11" t="s">
        <v>2983</v>
      </c>
      <c r="D12" s="11" t="s">
        <v>2984</v>
      </c>
      <c r="E12" s="11" t="s">
        <v>2972</v>
      </c>
      <c r="F12" s="11" t="s">
        <v>59</v>
      </c>
      <c r="G12" s="11" t="s">
        <v>60</v>
      </c>
      <c r="H12" s="11" t="s">
        <v>194</v>
      </c>
      <c r="I12" s="11" t="s">
        <v>410</v>
      </c>
      <c r="J12" s="11" t="s">
        <v>67</v>
      </c>
      <c r="K12" s="11" t="s">
        <v>2985</v>
      </c>
      <c r="L12" s="12" t="s">
        <v>25</v>
      </c>
      <c r="M12" s="11" t="s">
        <v>2975</v>
      </c>
      <c r="N12" s="11" t="s">
        <v>2976</v>
      </c>
      <c r="O12" s="11">
        <v>10</v>
      </c>
      <c r="P12" s="11" t="s">
        <v>343</v>
      </c>
      <c r="Q12" s="11" t="s">
        <v>67</v>
      </c>
      <c r="R12" s="11" t="s">
        <v>212</v>
      </c>
      <c r="S12" s="11" t="s">
        <v>2977</v>
      </c>
      <c r="T12" s="11" t="s">
        <v>1766</v>
      </c>
      <c r="U12" s="11" t="s">
        <v>2986</v>
      </c>
      <c r="V12" s="11" t="s">
        <v>2940</v>
      </c>
      <c r="W12" s="11" t="s">
        <v>2975</v>
      </c>
      <c r="X12" s="23" t="s">
        <v>67</v>
      </c>
      <c r="Y12" s="13" t="s">
        <v>67</v>
      </c>
    </row>
    <row r="13" spans="1:25" ht="48" customHeight="1">
      <c r="A13" s="11" t="s">
        <v>55</v>
      </c>
      <c r="B13" s="11" t="s">
        <v>17</v>
      </c>
      <c r="C13" s="11" t="s">
        <v>2987</v>
      </c>
      <c r="D13" s="11" t="s">
        <v>2988</v>
      </c>
      <c r="E13" s="11" t="s">
        <v>2972</v>
      </c>
      <c r="F13" s="11" t="s">
        <v>59</v>
      </c>
      <c r="G13" s="11" t="s">
        <v>60</v>
      </c>
      <c r="H13" s="11" t="s">
        <v>194</v>
      </c>
      <c r="I13" s="11" t="s">
        <v>410</v>
      </c>
      <c r="J13" s="11" t="s">
        <v>67</v>
      </c>
      <c r="K13" s="11" t="s">
        <v>2985</v>
      </c>
      <c r="L13" s="12" t="s">
        <v>25</v>
      </c>
      <c r="M13" s="11" t="s">
        <v>2981</v>
      </c>
      <c r="N13" s="11" t="s">
        <v>2976</v>
      </c>
      <c r="O13" s="11">
        <v>10</v>
      </c>
      <c r="P13" s="11" t="s">
        <v>343</v>
      </c>
      <c r="Q13" s="11" t="s">
        <v>67</v>
      </c>
      <c r="R13" s="11" t="s">
        <v>212</v>
      </c>
      <c r="S13" s="11" t="s">
        <v>2977</v>
      </c>
      <c r="T13" s="11" t="s">
        <v>1766</v>
      </c>
      <c r="U13" s="11" t="s">
        <v>2989</v>
      </c>
      <c r="V13" s="11" t="s">
        <v>2940</v>
      </c>
      <c r="W13" s="11" t="s">
        <v>2981</v>
      </c>
      <c r="X13" s="23" t="s">
        <v>67</v>
      </c>
      <c r="Y13" s="13" t="s">
        <v>67</v>
      </c>
    </row>
    <row r="14" spans="1:25" ht="33.950000000000003" customHeight="1">
      <c r="A14" s="11" t="s">
        <v>55</v>
      </c>
      <c r="B14" s="11" t="s">
        <v>13</v>
      </c>
      <c r="C14" s="11" t="s">
        <v>2990</v>
      </c>
      <c r="D14" s="11" t="s">
        <v>2991</v>
      </c>
      <c r="E14" s="11" t="s">
        <v>2972</v>
      </c>
      <c r="F14" s="11" t="s">
        <v>59</v>
      </c>
      <c r="G14" s="11" t="s">
        <v>60</v>
      </c>
      <c r="H14" s="11" t="s">
        <v>200</v>
      </c>
      <c r="I14" s="11" t="s">
        <v>341</v>
      </c>
      <c r="J14" s="11" t="s">
        <v>67</v>
      </c>
      <c r="K14" s="11" t="s">
        <v>2992</v>
      </c>
      <c r="L14" s="12" t="s">
        <v>25</v>
      </c>
      <c r="M14" s="11" t="s">
        <v>2975</v>
      </c>
      <c r="N14" s="11" t="s">
        <v>2976</v>
      </c>
      <c r="O14" s="11">
        <v>10</v>
      </c>
      <c r="P14" s="11" t="s">
        <v>343</v>
      </c>
      <c r="Q14" s="11" t="s">
        <v>67</v>
      </c>
      <c r="R14" s="11" t="s">
        <v>212</v>
      </c>
      <c r="S14" s="11" t="s">
        <v>2977</v>
      </c>
      <c r="T14" s="11" t="s">
        <v>1766</v>
      </c>
      <c r="U14" s="11" t="s">
        <v>2986</v>
      </c>
      <c r="V14" s="11" t="s">
        <v>2940</v>
      </c>
      <c r="W14" s="11" t="s">
        <v>2975</v>
      </c>
      <c r="X14" s="23" t="s">
        <v>67</v>
      </c>
      <c r="Y14" s="13" t="s">
        <v>67</v>
      </c>
    </row>
    <row r="15" spans="1:25" ht="33.950000000000003" customHeight="1">
      <c r="A15" s="11" t="s">
        <v>55</v>
      </c>
      <c r="B15" s="11" t="s">
        <v>17</v>
      </c>
      <c r="C15" s="11" t="s">
        <v>2993</v>
      </c>
      <c r="D15" s="11" t="s">
        <v>2994</v>
      </c>
      <c r="E15" s="11" t="s">
        <v>2972</v>
      </c>
      <c r="F15" s="11" t="s">
        <v>59</v>
      </c>
      <c r="G15" s="11" t="s">
        <v>60</v>
      </c>
      <c r="H15" s="11" t="s">
        <v>200</v>
      </c>
      <c r="I15" s="11" t="s">
        <v>341</v>
      </c>
      <c r="J15" s="11" t="s">
        <v>67</v>
      </c>
      <c r="K15" s="11" t="s">
        <v>2992</v>
      </c>
      <c r="L15" s="12" t="s">
        <v>25</v>
      </c>
      <c r="M15" s="11" t="s">
        <v>2981</v>
      </c>
      <c r="N15" s="11" t="s">
        <v>2976</v>
      </c>
      <c r="O15" s="11">
        <v>10</v>
      </c>
      <c r="P15" s="11" t="s">
        <v>343</v>
      </c>
      <c r="Q15" s="11" t="s">
        <v>67</v>
      </c>
      <c r="R15" s="11" t="s">
        <v>212</v>
      </c>
      <c r="S15" s="11" t="s">
        <v>2977</v>
      </c>
      <c r="T15" s="11" t="s">
        <v>1766</v>
      </c>
      <c r="U15" s="11" t="s">
        <v>2989</v>
      </c>
      <c r="V15" s="11" t="s">
        <v>2940</v>
      </c>
      <c r="W15" s="11" t="s">
        <v>2981</v>
      </c>
      <c r="X15" s="23" t="s">
        <v>67</v>
      </c>
      <c r="Y15" s="13" t="s">
        <v>67</v>
      </c>
    </row>
    <row r="16" spans="1:25" ht="48" customHeight="1">
      <c r="A16" s="11" t="s">
        <v>55</v>
      </c>
      <c r="B16" s="11" t="s">
        <v>13</v>
      </c>
      <c r="C16" s="11" t="s">
        <v>2995</v>
      </c>
      <c r="D16" s="11" t="s">
        <v>2996</v>
      </c>
      <c r="E16" s="11" t="s">
        <v>2972</v>
      </c>
      <c r="F16" s="11" t="s">
        <v>59</v>
      </c>
      <c r="G16" s="11" t="s">
        <v>60</v>
      </c>
      <c r="H16" s="11" t="s">
        <v>346</v>
      </c>
      <c r="I16" s="11" t="s">
        <v>2997</v>
      </c>
      <c r="J16" s="11" t="s">
        <v>67</v>
      </c>
      <c r="K16" s="11" t="s">
        <v>2985</v>
      </c>
      <c r="L16" s="12" t="s">
        <v>25</v>
      </c>
      <c r="M16" s="11" t="s">
        <v>2975</v>
      </c>
      <c r="N16" s="11" t="s">
        <v>2976</v>
      </c>
      <c r="O16" s="11">
        <v>10</v>
      </c>
      <c r="P16" s="11" t="s">
        <v>343</v>
      </c>
      <c r="Q16" s="11" t="s">
        <v>67</v>
      </c>
      <c r="R16" s="11" t="s">
        <v>212</v>
      </c>
      <c r="S16" s="11" t="s">
        <v>2977</v>
      </c>
      <c r="T16" s="11" t="s">
        <v>1766</v>
      </c>
      <c r="U16" s="11" t="s">
        <v>2986</v>
      </c>
      <c r="V16" s="11" t="s">
        <v>2940</v>
      </c>
      <c r="W16" s="11" t="s">
        <v>2975</v>
      </c>
      <c r="X16" s="23" t="s">
        <v>67</v>
      </c>
      <c r="Y16" s="13" t="s">
        <v>67</v>
      </c>
    </row>
    <row r="17" spans="1:25" ht="48" customHeight="1">
      <c r="A17" s="11" t="s">
        <v>55</v>
      </c>
      <c r="B17" s="11" t="s">
        <v>17</v>
      </c>
      <c r="C17" s="11" t="s">
        <v>2998</v>
      </c>
      <c r="D17" s="11" t="s">
        <v>2999</v>
      </c>
      <c r="E17" s="11" t="s">
        <v>2972</v>
      </c>
      <c r="F17" s="11" t="s">
        <v>59</v>
      </c>
      <c r="G17" s="11" t="s">
        <v>60</v>
      </c>
      <c r="H17" s="11" t="s">
        <v>346</v>
      </c>
      <c r="I17" s="11" t="s">
        <v>2997</v>
      </c>
      <c r="J17" s="11" t="s">
        <v>67</v>
      </c>
      <c r="K17" s="11" t="s">
        <v>2985</v>
      </c>
      <c r="L17" s="12" t="s">
        <v>25</v>
      </c>
      <c r="M17" s="11" t="s">
        <v>2981</v>
      </c>
      <c r="N17" s="11" t="s">
        <v>2976</v>
      </c>
      <c r="O17" s="11">
        <v>10</v>
      </c>
      <c r="P17" s="11" t="s">
        <v>343</v>
      </c>
      <c r="Q17" s="11" t="s">
        <v>67</v>
      </c>
      <c r="R17" s="11" t="s">
        <v>212</v>
      </c>
      <c r="S17" s="11" t="s">
        <v>2977</v>
      </c>
      <c r="T17" s="11" t="s">
        <v>1766</v>
      </c>
      <c r="U17" s="11" t="s">
        <v>2989</v>
      </c>
      <c r="V17" s="11" t="s">
        <v>2940</v>
      </c>
      <c r="W17" s="11" t="s">
        <v>2981</v>
      </c>
      <c r="X17" s="23" t="s">
        <v>67</v>
      </c>
      <c r="Y17" s="13" t="s">
        <v>67</v>
      </c>
    </row>
    <row r="18" spans="1:25" ht="48" customHeight="1">
      <c r="A18" s="11" t="s">
        <v>55</v>
      </c>
      <c r="B18" s="11" t="s">
        <v>13</v>
      </c>
      <c r="C18" s="11" t="s">
        <v>3000</v>
      </c>
      <c r="D18" s="11" t="s">
        <v>3001</v>
      </c>
      <c r="E18" s="11" t="s">
        <v>3002</v>
      </c>
      <c r="F18" s="11" t="s">
        <v>59</v>
      </c>
      <c r="G18" s="11" t="s">
        <v>60</v>
      </c>
      <c r="H18" s="11" t="s">
        <v>61</v>
      </c>
      <c r="I18" s="11" t="s">
        <v>2973</v>
      </c>
      <c r="J18" s="11" t="s">
        <v>67</v>
      </c>
      <c r="K18" s="11" t="s">
        <v>3003</v>
      </c>
      <c r="L18" s="12" t="s">
        <v>25</v>
      </c>
      <c r="M18" s="11" t="s">
        <v>3004</v>
      </c>
      <c r="N18" s="11" t="s">
        <v>3005</v>
      </c>
      <c r="O18" s="11">
        <v>8</v>
      </c>
      <c r="P18" s="11" t="s">
        <v>3006</v>
      </c>
      <c r="Q18" s="11" t="s">
        <v>67</v>
      </c>
      <c r="R18" s="11" t="s">
        <v>212</v>
      </c>
      <c r="S18" s="11" t="s">
        <v>3007</v>
      </c>
      <c r="T18" s="11" t="s">
        <v>1766</v>
      </c>
      <c r="U18" s="11" t="s">
        <v>3008</v>
      </c>
      <c r="V18" s="11" t="s">
        <v>2940</v>
      </c>
      <c r="W18" s="11" t="s">
        <v>3004</v>
      </c>
      <c r="X18" s="23" t="s">
        <v>67</v>
      </c>
      <c r="Y18" s="13" t="s">
        <v>67</v>
      </c>
    </row>
    <row r="19" spans="1:25" ht="48" customHeight="1">
      <c r="A19" s="11" t="s">
        <v>55</v>
      </c>
      <c r="B19" s="11" t="s">
        <v>17</v>
      </c>
      <c r="C19" s="11" t="s">
        <v>3009</v>
      </c>
      <c r="D19" s="11" t="s">
        <v>3010</v>
      </c>
      <c r="E19" s="11" t="s">
        <v>3002</v>
      </c>
      <c r="F19" s="11" t="s">
        <v>59</v>
      </c>
      <c r="G19" s="11" t="s">
        <v>60</v>
      </c>
      <c r="H19" s="11" t="s">
        <v>61</v>
      </c>
      <c r="I19" s="11" t="s">
        <v>2973</v>
      </c>
      <c r="J19" s="11" t="s">
        <v>67</v>
      </c>
      <c r="K19" s="11" t="s">
        <v>3003</v>
      </c>
      <c r="L19" s="12" t="s">
        <v>25</v>
      </c>
      <c r="M19" s="11" t="s">
        <v>3011</v>
      </c>
      <c r="N19" s="11" t="s">
        <v>3005</v>
      </c>
      <c r="O19" s="11">
        <v>8</v>
      </c>
      <c r="P19" s="11" t="s">
        <v>3006</v>
      </c>
      <c r="Q19" s="11" t="s">
        <v>67</v>
      </c>
      <c r="R19" s="11" t="s">
        <v>212</v>
      </c>
      <c r="S19" s="11" t="s">
        <v>3007</v>
      </c>
      <c r="T19" s="11" t="s">
        <v>1766</v>
      </c>
      <c r="U19" s="11" t="s">
        <v>3012</v>
      </c>
      <c r="V19" s="11" t="s">
        <v>2940</v>
      </c>
      <c r="W19" s="11" t="s">
        <v>3011</v>
      </c>
      <c r="X19" s="23" t="s">
        <v>67</v>
      </c>
      <c r="Y19" s="13" t="s">
        <v>67</v>
      </c>
    </row>
    <row r="20" spans="1:25" ht="48" customHeight="1">
      <c r="A20" s="11" t="s">
        <v>55</v>
      </c>
      <c r="B20" s="11" t="s">
        <v>13</v>
      </c>
      <c r="C20" s="11" t="s">
        <v>3013</v>
      </c>
      <c r="D20" s="11" t="s">
        <v>3014</v>
      </c>
      <c r="E20" s="11" t="s">
        <v>3002</v>
      </c>
      <c r="F20" s="11" t="s">
        <v>59</v>
      </c>
      <c r="G20" s="11" t="s">
        <v>60</v>
      </c>
      <c r="H20" s="11" t="s">
        <v>194</v>
      </c>
      <c r="I20" s="11" t="s">
        <v>3015</v>
      </c>
      <c r="J20" s="11" t="s">
        <v>67</v>
      </c>
      <c r="K20" s="11" t="s">
        <v>3016</v>
      </c>
      <c r="L20" s="12" t="s">
        <v>25</v>
      </c>
      <c r="M20" s="11" t="s">
        <v>3004</v>
      </c>
      <c r="N20" s="11" t="s">
        <v>3005</v>
      </c>
      <c r="O20" s="11">
        <v>8</v>
      </c>
      <c r="P20" s="11" t="s">
        <v>3006</v>
      </c>
      <c r="Q20" s="11" t="s">
        <v>67</v>
      </c>
      <c r="R20" s="11" t="s">
        <v>212</v>
      </c>
      <c r="S20" s="11" t="s">
        <v>3007</v>
      </c>
      <c r="T20" s="11" t="s">
        <v>1766</v>
      </c>
      <c r="U20" s="11" t="s">
        <v>3017</v>
      </c>
      <c r="V20" s="11" t="s">
        <v>2940</v>
      </c>
      <c r="W20" s="11" t="s">
        <v>3004</v>
      </c>
      <c r="X20" s="23" t="s">
        <v>67</v>
      </c>
      <c r="Y20" s="13" t="s">
        <v>67</v>
      </c>
    </row>
    <row r="21" spans="1:25" ht="48" customHeight="1">
      <c r="A21" s="11" t="s">
        <v>55</v>
      </c>
      <c r="B21" s="11" t="s">
        <v>17</v>
      </c>
      <c r="C21" s="11" t="s">
        <v>3018</v>
      </c>
      <c r="D21" s="11" t="s">
        <v>3019</v>
      </c>
      <c r="E21" s="11" t="s">
        <v>3002</v>
      </c>
      <c r="F21" s="11" t="s">
        <v>59</v>
      </c>
      <c r="G21" s="11" t="s">
        <v>60</v>
      </c>
      <c r="H21" s="11" t="s">
        <v>194</v>
      </c>
      <c r="I21" s="11" t="s">
        <v>3015</v>
      </c>
      <c r="J21" s="11" t="s">
        <v>67</v>
      </c>
      <c r="K21" s="11" t="s">
        <v>3016</v>
      </c>
      <c r="L21" s="12" t="s">
        <v>25</v>
      </c>
      <c r="M21" s="11" t="s">
        <v>3011</v>
      </c>
      <c r="N21" s="11" t="s">
        <v>3005</v>
      </c>
      <c r="O21" s="11">
        <v>8</v>
      </c>
      <c r="P21" s="11" t="s">
        <v>3006</v>
      </c>
      <c r="Q21" s="11" t="s">
        <v>67</v>
      </c>
      <c r="R21" s="11" t="s">
        <v>212</v>
      </c>
      <c r="S21" s="11" t="s">
        <v>3007</v>
      </c>
      <c r="T21" s="11" t="s">
        <v>1766</v>
      </c>
      <c r="U21" s="11" t="s">
        <v>3020</v>
      </c>
      <c r="V21" s="11" t="s">
        <v>2940</v>
      </c>
      <c r="W21" s="11" t="s">
        <v>3011</v>
      </c>
      <c r="X21" s="23" t="s">
        <v>67</v>
      </c>
      <c r="Y21" s="13" t="s">
        <v>67</v>
      </c>
    </row>
    <row r="22" spans="1:25" ht="48" customHeight="1">
      <c r="A22" s="11" t="s">
        <v>55</v>
      </c>
      <c r="B22" s="11" t="s">
        <v>13</v>
      </c>
      <c r="C22" s="11" t="s">
        <v>3021</v>
      </c>
      <c r="D22" s="11" t="s">
        <v>3022</v>
      </c>
      <c r="E22" s="11" t="s">
        <v>3002</v>
      </c>
      <c r="F22" s="11" t="s">
        <v>59</v>
      </c>
      <c r="G22" s="11" t="s">
        <v>60</v>
      </c>
      <c r="H22" s="11" t="s">
        <v>200</v>
      </c>
      <c r="I22" s="11" t="s">
        <v>3023</v>
      </c>
      <c r="J22" s="11" t="s">
        <v>67</v>
      </c>
      <c r="K22" s="11" t="s">
        <v>3024</v>
      </c>
      <c r="L22" s="12" t="s">
        <v>25</v>
      </c>
      <c r="M22" s="11" t="s">
        <v>3004</v>
      </c>
      <c r="N22" s="11" t="s">
        <v>3005</v>
      </c>
      <c r="O22" s="11">
        <v>8</v>
      </c>
      <c r="P22" s="11" t="s">
        <v>3006</v>
      </c>
      <c r="Q22" s="11" t="s">
        <v>67</v>
      </c>
      <c r="R22" s="11" t="s">
        <v>212</v>
      </c>
      <c r="S22" s="11" t="s">
        <v>3007</v>
      </c>
      <c r="T22" s="11" t="s">
        <v>1766</v>
      </c>
      <c r="U22" s="11" t="s">
        <v>3017</v>
      </c>
      <c r="V22" s="11" t="s">
        <v>2940</v>
      </c>
      <c r="W22" s="11" t="s">
        <v>3004</v>
      </c>
      <c r="X22" s="23" t="s">
        <v>67</v>
      </c>
      <c r="Y22" s="13" t="s">
        <v>67</v>
      </c>
    </row>
    <row r="23" spans="1:25" ht="48" customHeight="1">
      <c r="A23" s="11" t="s">
        <v>55</v>
      </c>
      <c r="B23" s="11" t="s">
        <v>17</v>
      </c>
      <c r="C23" s="11" t="s">
        <v>3025</v>
      </c>
      <c r="D23" s="11" t="s">
        <v>3026</v>
      </c>
      <c r="E23" s="11" t="s">
        <v>3002</v>
      </c>
      <c r="F23" s="11" t="s">
        <v>59</v>
      </c>
      <c r="G23" s="11" t="s">
        <v>60</v>
      </c>
      <c r="H23" s="11" t="s">
        <v>200</v>
      </c>
      <c r="I23" s="11" t="s">
        <v>3023</v>
      </c>
      <c r="J23" s="11" t="s">
        <v>67</v>
      </c>
      <c r="K23" s="11" t="s">
        <v>3024</v>
      </c>
      <c r="L23" s="12" t="s">
        <v>25</v>
      </c>
      <c r="M23" s="11" t="s">
        <v>3011</v>
      </c>
      <c r="N23" s="11" t="s">
        <v>3005</v>
      </c>
      <c r="O23" s="11">
        <v>8</v>
      </c>
      <c r="P23" s="11" t="s">
        <v>3006</v>
      </c>
      <c r="Q23" s="11" t="s">
        <v>67</v>
      </c>
      <c r="R23" s="11" t="s">
        <v>212</v>
      </c>
      <c r="S23" s="11" t="s">
        <v>3007</v>
      </c>
      <c r="T23" s="11" t="s">
        <v>1766</v>
      </c>
      <c r="U23" s="11" t="s">
        <v>3020</v>
      </c>
      <c r="V23" s="11" t="s">
        <v>2940</v>
      </c>
      <c r="W23" s="11" t="s">
        <v>3011</v>
      </c>
      <c r="X23" s="23" t="s">
        <v>67</v>
      </c>
      <c r="Y23" s="13" t="s">
        <v>67</v>
      </c>
    </row>
    <row r="24" spans="1:25" ht="75.95" customHeight="1">
      <c r="A24" s="11" t="s">
        <v>55</v>
      </c>
      <c r="B24" s="11" t="s">
        <v>13</v>
      </c>
      <c r="C24" s="11" t="s">
        <v>3027</v>
      </c>
      <c r="D24" s="11" t="s">
        <v>3028</v>
      </c>
      <c r="E24" s="11" t="s">
        <v>3002</v>
      </c>
      <c r="F24" s="11" t="s">
        <v>59</v>
      </c>
      <c r="G24" s="11" t="s">
        <v>60</v>
      </c>
      <c r="H24" s="11" t="s">
        <v>234</v>
      </c>
      <c r="I24" s="11" t="s">
        <v>235</v>
      </c>
      <c r="J24" s="11" t="s">
        <v>67</v>
      </c>
      <c r="K24" s="11" t="s">
        <v>3029</v>
      </c>
      <c r="L24" s="12" t="s">
        <v>25</v>
      </c>
      <c r="M24" s="11" t="s">
        <v>3004</v>
      </c>
      <c r="N24" s="11" t="s">
        <v>3005</v>
      </c>
      <c r="O24" s="11">
        <v>8</v>
      </c>
      <c r="P24" s="11" t="s">
        <v>3030</v>
      </c>
      <c r="Q24" s="11" t="s">
        <v>67</v>
      </c>
      <c r="R24" s="11" t="s">
        <v>212</v>
      </c>
      <c r="S24" s="11" t="s">
        <v>3007</v>
      </c>
      <c r="T24" s="11" t="s">
        <v>1766</v>
      </c>
      <c r="U24" s="11" t="s">
        <v>3017</v>
      </c>
      <c r="V24" s="11" t="s">
        <v>2940</v>
      </c>
      <c r="W24" s="11" t="s">
        <v>3004</v>
      </c>
      <c r="X24" s="23" t="s">
        <v>67</v>
      </c>
      <c r="Y24" s="13" t="s">
        <v>67</v>
      </c>
    </row>
    <row r="25" spans="1:25" ht="75.95" customHeight="1">
      <c r="A25" s="11" t="s">
        <v>55</v>
      </c>
      <c r="B25" s="11" t="s">
        <v>17</v>
      </c>
      <c r="C25" s="11" t="s">
        <v>3031</v>
      </c>
      <c r="D25" s="11" t="s">
        <v>3032</v>
      </c>
      <c r="E25" s="11" t="s">
        <v>3002</v>
      </c>
      <c r="F25" s="11" t="s">
        <v>59</v>
      </c>
      <c r="G25" s="11" t="s">
        <v>60</v>
      </c>
      <c r="H25" s="11" t="s">
        <v>234</v>
      </c>
      <c r="I25" s="11" t="s">
        <v>235</v>
      </c>
      <c r="J25" s="11" t="s">
        <v>67</v>
      </c>
      <c r="K25" s="11" t="s">
        <v>3029</v>
      </c>
      <c r="L25" s="12" t="s">
        <v>25</v>
      </c>
      <c r="M25" s="11" t="s">
        <v>3011</v>
      </c>
      <c r="N25" s="11" t="s">
        <v>3005</v>
      </c>
      <c r="O25" s="11">
        <v>8</v>
      </c>
      <c r="P25" s="11" t="s">
        <v>3030</v>
      </c>
      <c r="Q25" s="11" t="s">
        <v>67</v>
      </c>
      <c r="R25" s="11" t="s">
        <v>212</v>
      </c>
      <c r="S25" s="11" t="s">
        <v>3007</v>
      </c>
      <c r="T25" s="11" t="s">
        <v>1766</v>
      </c>
      <c r="U25" s="11" t="s">
        <v>3020</v>
      </c>
      <c r="V25" s="11" t="s">
        <v>2940</v>
      </c>
      <c r="W25" s="11" t="s">
        <v>3011</v>
      </c>
      <c r="X25" s="23" t="s">
        <v>67</v>
      </c>
      <c r="Y25" s="13" t="s">
        <v>67</v>
      </c>
    </row>
    <row r="26" spans="1:25" ht="90" customHeight="1">
      <c r="A26" s="11" t="s">
        <v>55</v>
      </c>
      <c r="B26" s="11" t="s">
        <v>17</v>
      </c>
      <c r="C26" s="11" t="s">
        <v>3033</v>
      </c>
      <c r="D26" s="11" t="s">
        <v>3034</v>
      </c>
      <c r="E26" s="11" t="s">
        <v>3035</v>
      </c>
      <c r="F26" s="11" t="s">
        <v>59</v>
      </c>
      <c r="G26" s="11" t="s">
        <v>60</v>
      </c>
      <c r="H26" s="11" t="s">
        <v>61</v>
      </c>
      <c r="I26" s="11" t="s">
        <v>2973</v>
      </c>
      <c r="J26" s="11" t="s">
        <v>67</v>
      </c>
      <c r="K26" s="11" t="s">
        <v>3036</v>
      </c>
      <c r="L26" s="12" t="s">
        <v>25</v>
      </c>
      <c r="M26" s="11" t="s">
        <v>3037</v>
      </c>
      <c r="N26" s="11" t="s">
        <v>3038</v>
      </c>
      <c r="O26" s="11">
        <v>50</v>
      </c>
      <c r="P26" s="11" t="s">
        <v>3039</v>
      </c>
      <c r="Q26" s="11" t="s">
        <v>67</v>
      </c>
      <c r="R26" s="11" t="s">
        <v>212</v>
      </c>
      <c r="S26" s="11" t="s">
        <v>3040</v>
      </c>
      <c r="T26" s="11" t="s">
        <v>1766</v>
      </c>
      <c r="U26" s="11" t="s">
        <v>3041</v>
      </c>
      <c r="V26" s="11" t="s">
        <v>2940</v>
      </c>
      <c r="W26" s="11" t="s">
        <v>3037</v>
      </c>
      <c r="X26" s="23" t="s">
        <v>67</v>
      </c>
      <c r="Y26" s="13" t="s">
        <v>67</v>
      </c>
    </row>
    <row r="27" spans="1:25" ht="90" customHeight="1">
      <c r="A27" s="11" t="s">
        <v>55</v>
      </c>
      <c r="B27" s="11" t="s">
        <v>17</v>
      </c>
      <c r="C27" s="11" t="s">
        <v>3042</v>
      </c>
      <c r="D27" s="11" t="s">
        <v>3043</v>
      </c>
      <c r="E27" s="11" t="s">
        <v>3035</v>
      </c>
      <c r="F27" s="11" t="s">
        <v>59</v>
      </c>
      <c r="G27" s="11" t="s">
        <v>60</v>
      </c>
      <c r="H27" s="11" t="s">
        <v>194</v>
      </c>
      <c r="I27" s="11" t="s">
        <v>273</v>
      </c>
      <c r="J27" s="11" t="s">
        <v>67</v>
      </c>
      <c r="K27" s="11" t="s">
        <v>3044</v>
      </c>
      <c r="L27" s="12" t="s">
        <v>25</v>
      </c>
      <c r="M27" s="11" t="s">
        <v>3037</v>
      </c>
      <c r="N27" s="11" t="s">
        <v>3038</v>
      </c>
      <c r="O27" s="11">
        <v>50</v>
      </c>
      <c r="P27" s="11" t="s">
        <v>3039</v>
      </c>
      <c r="Q27" s="11" t="s">
        <v>67</v>
      </c>
      <c r="R27" s="11" t="s">
        <v>212</v>
      </c>
      <c r="S27" s="11" t="s">
        <v>3040</v>
      </c>
      <c r="T27" s="11" t="s">
        <v>1766</v>
      </c>
      <c r="U27" s="11" t="s">
        <v>3041</v>
      </c>
      <c r="V27" s="11" t="s">
        <v>2940</v>
      </c>
      <c r="W27" s="11" t="s">
        <v>3037</v>
      </c>
      <c r="X27" s="23" t="s">
        <v>67</v>
      </c>
      <c r="Y27" s="13" t="s">
        <v>67</v>
      </c>
    </row>
    <row r="28" spans="1:25" ht="90" customHeight="1">
      <c r="A28" s="11" t="s">
        <v>55</v>
      </c>
      <c r="B28" s="11" t="s">
        <v>17</v>
      </c>
      <c r="C28" s="11" t="s">
        <v>3045</v>
      </c>
      <c r="D28" s="11" t="s">
        <v>3046</v>
      </c>
      <c r="E28" s="11" t="s">
        <v>3035</v>
      </c>
      <c r="F28" s="11" t="s">
        <v>59</v>
      </c>
      <c r="G28" s="11" t="s">
        <v>60</v>
      </c>
      <c r="H28" s="11" t="s">
        <v>200</v>
      </c>
      <c r="I28" s="11" t="s">
        <v>3047</v>
      </c>
      <c r="J28" s="11" t="s">
        <v>67</v>
      </c>
      <c r="K28" s="11" t="s">
        <v>3048</v>
      </c>
      <c r="L28" s="12" t="s">
        <v>25</v>
      </c>
      <c r="M28" s="11" t="s">
        <v>3037</v>
      </c>
      <c r="N28" s="11" t="s">
        <v>3038</v>
      </c>
      <c r="O28" s="11">
        <v>50</v>
      </c>
      <c r="P28" s="11" t="s">
        <v>3039</v>
      </c>
      <c r="Q28" s="11" t="s">
        <v>67</v>
      </c>
      <c r="R28" s="11" t="s">
        <v>212</v>
      </c>
      <c r="S28" s="11" t="s">
        <v>3040</v>
      </c>
      <c r="T28" s="11" t="s">
        <v>1766</v>
      </c>
      <c r="U28" s="11" t="s">
        <v>3041</v>
      </c>
      <c r="V28" s="11" t="s">
        <v>2940</v>
      </c>
      <c r="W28" s="11" t="s">
        <v>3037</v>
      </c>
      <c r="X28" s="23" t="s">
        <v>67</v>
      </c>
      <c r="Y28" s="13" t="s">
        <v>67</v>
      </c>
    </row>
    <row r="29" spans="1:25" ht="90" customHeight="1">
      <c r="A29" s="11" t="s">
        <v>55</v>
      </c>
      <c r="B29" s="11" t="s">
        <v>17</v>
      </c>
      <c r="C29" s="11" t="s">
        <v>3049</v>
      </c>
      <c r="D29" s="11" t="s">
        <v>3050</v>
      </c>
      <c r="E29" s="11" t="s">
        <v>3051</v>
      </c>
      <c r="F29" s="11" t="s">
        <v>59</v>
      </c>
      <c r="G29" s="11" t="s">
        <v>60</v>
      </c>
      <c r="H29" s="11" t="s">
        <v>61</v>
      </c>
      <c r="I29" s="11" t="s">
        <v>2973</v>
      </c>
      <c r="J29" s="11" t="s">
        <v>67</v>
      </c>
      <c r="K29" s="11" t="s">
        <v>3052</v>
      </c>
      <c r="L29" s="12" t="s">
        <v>25</v>
      </c>
      <c r="M29" s="11" t="s">
        <v>3053</v>
      </c>
      <c r="N29" s="11" t="s">
        <v>3038</v>
      </c>
      <c r="O29" s="11">
        <v>100</v>
      </c>
      <c r="P29" s="11" t="s">
        <v>3054</v>
      </c>
      <c r="Q29" s="11" t="s">
        <v>67</v>
      </c>
      <c r="R29" s="11" t="s">
        <v>212</v>
      </c>
      <c r="S29" s="11" t="s">
        <v>3055</v>
      </c>
      <c r="T29" s="11" t="s">
        <v>1766</v>
      </c>
      <c r="U29" s="11" t="s">
        <v>3056</v>
      </c>
      <c r="V29" s="11" t="s">
        <v>2940</v>
      </c>
      <c r="W29" s="11" t="s">
        <v>3053</v>
      </c>
      <c r="X29" s="23" t="s">
        <v>67</v>
      </c>
      <c r="Y29" s="13" t="s">
        <v>67</v>
      </c>
    </row>
    <row r="30" spans="1:25" ht="90" customHeight="1">
      <c r="A30" s="11" t="s">
        <v>55</v>
      </c>
      <c r="B30" s="11" t="s">
        <v>17</v>
      </c>
      <c r="C30" s="11" t="s">
        <v>3057</v>
      </c>
      <c r="D30" s="11" t="s">
        <v>3058</v>
      </c>
      <c r="E30" s="11" t="s">
        <v>3051</v>
      </c>
      <c r="F30" s="11" t="s">
        <v>59</v>
      </c>
      <c r="G30" s="11" t="s">
        <v>60</v>
      </c>
      <c r="H30" s="11" t="s">
        <v>194</v>
      </c>
      <c r="I30" s="11" t="s">
        <v>273</v>
      </c>
      <c r="J30" s="11" t="s">
        <v>67</v>
      </c>
      <c r="K30" s="11" t="s">
        <v>3059</v>
      </c>
      <c r="L30" s="12" t="s">
        <v>25</v>
      </c>
      <c r="M30" s="11" t="s">
        <v>3053</v>
      </c>
      <c r="N30" s="11" t="s">
        <v>3038</v>
      </c>
      <c r="O30" s="11">
        <v>100</v>
      </c>
      <c r="P30" s="11" t="s">
        <v>3054</v>
      </c>
      <c r="Q30" s="11" t="s">
        <v>67</v>
      </c>
      <c r="R30" s="11" t="s">
        <v>212</v>
      </c>
      <c r="S30" s="11" t="s">
        <v>3055</v>
      </c>
      <c r="T30" s="11" t="s">
        <v>1766</v>
      </c>
      <c r="U30" s="11" t="s">
        <v>3060</v>
      </c>
      <c r="V30" s="11" t="s">
        <v>2940</v>
      </c>
      <c r="W30" s="11" t="s">
        <v>3053</v>
      </c>
      <c r="X30" s="23" t="s">
        <v>67</v>
      </c>
      <c r="Y30" s="13" t="s">
        <v>67</v>
      </c>
    </row>
    <row r="31" spans="1:25" ht="90" customHeight="1">
      <c r="A31" s="11" t="s">
        <v>55</v>
      </c>
      <c r="B31" s="11" t="s">
        <v>17</v>
      </c>
      <c r="C31" s="11" t="s">
        <v>3061</v>
      </c>
      <c r="D31" s="11" t="s">
        <v>3062</v>
      </c>
      <c r="E31" s="11" t="s">
        <v>3051</v>
      </c>
      <c r="F31" s="11" t="s">
        <v>59</v>
      </c>
      <c r="G31" s="11" t="s">
        <v>60</v>
      </c>
      <c r="H31" s="11" t="s">
        <v>200</v>
      </c>
      <c r="I31" s="11" t="s">
        <v>3063</v>
      </c>
      <c r="J31" s="11" t="s">
        <v>67</v>
      </c>
      <c r="K31" s="11" t="s">
        <v>3064</v>
      </c>
      <c r="L31" s="12" t="s">
        <v>25</v>
      </c>
      <c r="M31" s="11" t="s">
        <v>3053</v>
      </c>
      <c r="N31" s="11" t="s">
        <v>3038</v>
      </c>
      <c r="O31" s="11">
        <v>100</v>
      </c>
      <c r="P31" s="11" t="s">
        <v>3054</v>
      </c>
      <c r="Q31" s="11" t="s">
        <v>67</v>
      </c>
      <c r="R31" s="11" t="s">
        <v>212</v>
      </c>
      <c r="S31" s="11" t="s">
        <v>3055</v>
      </c>
      <c r="T31" s="11" t="s">
        <v>1766</v>
      </c>
      <c r="U31" s="11" t="s">
        <v>3060</v>
      </c>
      <c r="V31" s="11" t="s">
        <v>2940</v>
      </c>
      <c r="W31" s="11" t="s">
        <v>3053</v>
      </c>
      <c r="X31" s="23" t="s">
        <v>67</v>
      </c>
      <c r="Y31" s="13" t="s">
        <v>67</v>
      </c>
    </row>
    <row r="32" spans="1:25" ht="285.95" customHeight="1">
      <c r="A32" s="11" t="s">
        <v>55</v>
      </c>
      <c r="B32" s="11" t="s">
        <v>17</v>
      </c>
      <c r="C32" s="11" t="s">
        <v>3065</v>
      </c>
      <c r="D32" s="11" t="s">
        <v>3066</v>
      </c>
      <c r="E32" s="11" t="s">
        <v>3067</v>
      </c>
      <c r="F32" s="11" t="s">
        <v>59</v>
      </c>
      <c r="G32" s="11" t="s">
        <v>60</v>
      </c>
      <c r="H32" s="11" t="s">
        <v>61</v>
      </c>
      <c r="I32" s="11" t="s">
        <v>3068</v>
      </c>
      <c r="J32" s="11" t="s">
        <v>67</v>
      </c>
      <c r="K32" s="11" t="s">
        <v>3069</v>
      </c>
      <c r="L32" s="12" t="s">
        <v>25</v>
      </c>
      <c r="M32" s="11" t="s">
        <v>3070</v>
      </c>
      <c r="N32" s="11" t="s">
        <v>3071</v>
      </c>
      <c r="O32" s="11">
        <v>9</v>
      </c>
      <c r="P32" s="11" t="s">
        <v>307</v>
      </c>
      <c r="Q32" s="11" t="s">
        <v>67</v>
      </c>
      <c r="R32" s="11" t="s">
        <v>212</v>
      </c>
      <c r="S32" s="11" t="s">
        <v>3072</v>
      </c>
      <c r="T32" s="11" t="s">
        <v>1766</v>
      </c>
      <c r="U32" s="11" t="s">
        <v>3073</v>
      </c>
      <c r="V32" s="11" t="s">
        <v>2940</v>
      </c>
      <c r="W32" s="11" t="s">
        <v>3070</v>
      </c>
      <c r="X32" s="23" t="s">
        <v>67</v>
      </c>
      <c r="Y32" s="13" t="s">
        <v>67</v>
      </c>
    </row>
    <row r="33" spans="1:25" ht="285.95" customHeight="1">
      <c r="A33" s="11" t="s">
        <v>55</v>
      </c>
      <c r="B33" s="11" t="s">
        <v>17</v>
      </c>
      <c r="C33" s="11" t="s">
        <v>3074</v>
      </c>
      <c r="D33" s="11" t="s">
        <v>3075</v>
      </c>
      <c r="E33" s="11" t="s">
        <v>3067</v>
      </c>
      <c r="F33" s="11" t="s">
        <v>59</v>
      </c>
      <c r="G33" s="11" t="s">
        <v>60</v>
      </c>
      <c r="H33" s="11" t="s">
        <v>194</v>
      </c>
      <c r="I33" s="11" t="s">
        <v>224</v>
      </c>
      <c r="J33" s="11" t="s">
        <v>67</v>
      </c>
      <c r="K33" s="11" t="s">
        <v>3076</v>
      </c>
      <c r="L33" s="12" t="s">
        <v>25</v>
      </c>
      <c r="M33" s="11" t="s">
        <v>3070</v>
      </c>
      <c r="N33" s="11" t="s">
        <v>3071</v>
      </c>
      <c r="O33" s="11">
        <v>9</v>
      </c>
      <c r="P33" s="11" t="s">
        <v>307</v>
      </c>
      <c r="Q33" s="11" t="s">
        <v>67</v>
      </c>
      <c r="R33" s="11" t="s">
        <v>212</v>
      </c>
      <c r="S33" s="11" t="s">
        <v>3072</v>
      </c>
      <c r="T33" s="11" t="s">
        <v>1766</v>
      </c>
      <c r="U33" s="11" t="s">
        <v>3073</v>
      </c>
      <c r="V33" s="11" t="s">
        <v>2940</v>
      </c>
      <c r="W33" s="11" t="s">
        <v>3070</v>
      </c>
      <c r="X33" s="23" t="s">
        <v>67</v>
      </c>
      <c r="Y33" s="13" t="s">
        <v>67</v>
      </c>
    </row>
    <row r="34" spans="1:25" ht="285.95" customHeight="1">
      <c r="A34" s="11" t="s">
        <v>55</v>
      </c>
      <c r="B34" s="11" t="s">
        <v>17</v>
      </c>
      <c r="C34" s="11" t="s">
        <v>3077</v>
      </c>
      <c r="D34" s="11" t="s">
        <v>3078</v>
      </c>
      <c r="E34" s="11" t="s">
        <v>3067</v>
      </c>
      <c r="F34" s="11" t="s">
        <v>59</v>
      </c>
      <c r="G34" s="11" t="s">
        <v>60</v>
      </c>
      <c r="H34" s="11" t="s">
        <v>200</v>
      </c>
      <c r="I34" s="11" t="s">
        <v>3079</v>
      </c>
      <c r="J34" s="11" t="s">
        <v>67</v>
      </c>
      <c r="K34" s="11" t="s">
        <v>3080</v>
      </c>
      <c r="L34" s="12" t="s">
        <v>25</v>
      </c>
      <c r="M34" s="11" t="s">
        <v>3070</v>
      </c>
      <c r="N34" s="11" t="s">
        <v>3071</v>
      </c>
      <c r="O34" s="11">
        <v>9</v>
      </c>
      <c r="P34" s="11" t="s">
        <v>307</v>
      </c>
      <c r="Q34" s="11" t="s">
        <v>67</v>
      </c>
      <c r="R34" s="11" t="s">
        <v>212</v>
      </c>
      <c r="S34" s="11" t="s">
        <v>3072</v>
      </c>
      <c r="T34" s="11" t="s">
        <v>1766</v>
      </c>
      <c r="U34" s="11" t="s">
        <v>3073</v>
      </c>
      <c r="V34" s="11" t="s">
        <v>2940</v>
      </c>
      <c r="W34" s="11" t="s">
        <v>3070</v>
      </c>
      <c r="X34" s="23" t="s">
        <v>67</v>
      </c>
      <c r="Y34" s="13" t="s">
        <v>67</v>
      </c>
    </row>
    <row r="35" spans="1:25" ht="285.95" customHeight="1">
      <c r="A35" s="11" t="s">
        <v>55</v>
      </c>
      <c r="B35" s="11" t="s">
        <v>17</v>
      </c>
      <c r="C35" s="11" t="s">
        <v>3081</v>
      </c>
      <c r="D35" s="11" t="s">
        <v>3082</v>
      </c>
      <c r="E35" s="11" t="s">
        <v>3067</v>
      </c>
      <c r="F35" s="11" t="s">
        <v>59</v>
      </c>
      <c r="G35" s="11" t="s">
        <v>60</v>
      </c>
      <c r="H35" s="11" t="s">
        <v>234</v>
      </c>
      <c r="I35" s="11" t="s">
        <v>235</v>
      </c>
      <c r="J35" s="11" t="s">
        <v>67</v>
      </c>
      <c r="K35" s="11" t="s">
        <v>3083</v>
      </c>
      <c r="L35" s="12" t="s">
        <v>25</v>
      </c>
      <c r="M35" s="11" t="s">
        <v>3070</v>
      </c>
      <c r="N35" s="11" t="s">
        <v>3071</v>
      </c>
      <c r="O35" s="11">
        <v>9</v>
      </c>
      <c r="P35" s="11" t="s">
        <v>307</v>
      </c>
      <c r="Q35" s="11" t="s">
        <v>67</v>
      </c>
      <c r="R35" s="11" t="s">
        <v>212</v>
      </c>
      <c r="S35" s="11" t="s">
        <v>3072</v>
      </c>
      <c r="T35" s="11" t="s">
        <v>1766</v>
      </c>
      <c r="U35" s="11" t="s">
        <v>3073</v>
      </c>
      <c r="V35" s="11" t="s">
        <v>2940</v>
      </c>
      <c r="W35" s="11" t="s">
        <v>3070</v>
      </c>
      <c r="X35" s="23" t="s">
        <v>67</v>
      </c>
      <c r="Y35" s="13" t="s">
        <v>67</v>
      </c>
    </row>
    <row r="36" spans="1:25" ht="48" customHeight="1">
      <c r="A36" s="11" t="s">
        <v>55</v>
      </c>
      <c r="B36" s="11" t="s">
        <v>17</v>
      </c>
      <c r="C36" s="11" t="s">
        <v>3084</v>
      </c>
      <c r="D36" s="11" t="s">
        <v>3085</v>
      </c>
      <c r="E36" s="11" t="s">
        <v>3086</v>
      </c>
      <c r="F36" s="11" t="s">
        <v>59</v>
      </c>
      <c r="G36" s="11" t="s">
        <v>60</v>
      </c>
      <c r="H36" s="11" t="s">
        <v>194</v>
      </c>
      <c r="I36" s="11" t="s">
        <v>383</v>
      </c>
      <c r="J36" s="11" t="s">
        <v>67</v>
      </c>
      <c r="K36" s="11" t="s">
        <v>3087</v>
      </c>
      <c r="L36" s="12" t="s">
        <v>25</v>
      </c>
      <c r="M36" s="11" t="s">
        <v>3088</v>
      </c>
      <c r="N36" s="11" t="s">
        <v>3089</v>
      </c>
      <c r="O36" s="11">
        <v>4</v>
      </c>
      <c r="P36" s="11" t="s">
        <v>3090</v>
      </c>
      <c r="Q36" s="11" t="s">
        <v>67</v>
      </c>
      <c r="R36" s="11" t="s">
        <v>212</v>
      </c>
      <c r="S36" s="11" t="s">
        <v>2719</v>
      </c>
      <c r="T36" s="11" t="s">
        <v>1766</v>
      </c>
      <c r="U36" s="11" t="s">
        <v>3091</v>
      </c>
      <c r="V36" s="11" t="s">
        <v>2940</v>
      </c>
      <c r="W36" s="11" t="s">
        <v>3088</v>
      </c>
      <c r="X36" s="23" t="s">
        <v>67</v>
      </c>
      <c r="Y36" s="13" t="s">
        <v>67</v>
      </c>
    </row>
    <row r="37" spans="1:25" ht="48" customHeight="1">
      <c r="A37" s="11" t="s">
        <v>55</v>
      </c>
      <c r="B37" s="11" t="s">
        <v>17</v>
      </c>
      <c r="C37" s="11" t="s">
        <v>3092</v>
      </c>
      <c r="D37" s="11" t="s">
        <v>3093</v>
      </c>
      <c r="E37" s="11" t="s">
        <v>3086</v>
      </c>
      <c r="F37" s="11" t="s">
        <v>59</v>
      </c>
      <c r="G37" s="11" t="s">
        <v>60</v>
      </c>
      <c r="H37" s="11" t="s">
        <v>200</v>
      </c>
      <c r="I37" s="11" t="s">
        <v>315</v>
      </c>
      <c r="J37" s="11" t="s">
        <v>67</v>
      </c>
      <c r="K37" s="11" t="s">
        <v>3094</v>
      </c>
      <c r="L37" s="12" t="s">
        <v>25</v>
      </c>
      <c r="M37" s="11" t="s">
        <v>3088</v>
      </c>
      <c r="N37" s="11" t="s">
        <v>3089</v>
      </c>
      <c r="O37" s="11">
        <v>4</v>
      </c>
      <c r="P37" s="11" t="s">
        <v>3090</v>
      </c>
      <c r="Q37" s="11" t="s">
        <v>67</v>
      </c>
      <c r="R37" s="11" t="s">
        <v>212</v>
      </c>
      <c r="S37" s="11" t="s">
        <v>2719</v>
      </c>
      <c r="T37" s="11" t="s">
        <v>1766</v>
      </c>
      <c r="U37" s="11" t="s">
        <v>3091</v>
      </c>
      <c r="V37" s="11" t="s">
        <v>2940</v>
      </c>
      <c r="W37" s="11" t="s">
        <v>3088</v>
      </c>
      <c r="X37" s="23" t="s">
        <v>67</v>
      </c>
      <c r="Y37" s="13" t="s">
        <v>67</v>
      </c>
    </row>
    <row r="38" spans="1:25" ht="75.95" customHeight="1">
      <c r="A38" s="11" t="s">
        <v>55</v>
      </c>
      <c r="B38" s="11" t="s">
        <v>17</v>
      </c>
      <c r="C38" s="11" t="s">
        <v>3095</v>
      </c>
      <c r="D38" s="11" t="s">
        <v>3096</v>
      </c>
      <c r="E38" s="11" t="s">
        <v>3086</v>
      </c>
      <c r="F38" s="11" t="s">
        <v>59</v>
      </c>
      <c r="G38" s="11" t="s">
        <v>60</v>
      </c>
      <c r="H38" s="11" t="s">
        <v>234</v>
      </c>
      <c r="I38" s="11" t="s">
        <v>235</v>
      </c>
      <c r="J38" s="11" t="s">
        <v>67</v>
      </c>
      <c r="K38" s="11" t="s">
        <v>3097</v>
      </c>
      <c r="L38" s="12" t="s">
        <v>25</v>
      </c>
      <c r="M38" s="11" t="s">
        <v>3088</v>
      </c>
      <c r="N38" s="11" t="s">
        <v>3089</v>
      </c>
      <c r="O38" s="11">
        <v>4</v>
      </c>
      <c r="P38" s="11" t="s">
        <v>3098</v>
      </c>
      <c r="Q38" s="11" t="s">
        <v>67</v>
      </c>
      <c r="R38" s="11" t="s">
        <v>212</v>
      </c>
      <c r="S38" s="11" t="s">
        <v>2719</v>
      </c>
      <c r="T38" s="11" t="s">
        <v>1766</v>
      </c>
      <c r="U38" s="11" t="s">
        <v>3091</v>
      </c>
      <c r="V38" s="11" t="s">
        <v>2940</v>
      </c>
      <c r="W38" s="11" t="s">
        <v>3088</v>
      </c>
      <c r="X38" s="23" t="s">
        <v>67</v>
      </c>
      <c r="Y38" s="13" t="s">
        <v>67</v>
      </c>
    </row>
    <row r="39" spans="1:25" ht="48" customHeight="1">
      <c r="A39" s="11" t="s">
        <v>55</v>
      </c>
      <c r="B39" s="11" t="s">
        <v>17</v>
      </c>
      <c r="C39" s="11" t="s">
        <v>3099</v>
      </c>
      <c r="D39" s="11" t="s">
        <v>3100</v>
      </c>
      <c r="E39" s="11" t="s">
        <v>3101</v>
      </c>
      <c r="F39" s="11" t="s">
        <v>59</v>
      </c>
      <c r="G39" s="11" t="s">
        <v>60</v>
      </c>
      <c r="H39" s="11" t="s">
        <v>194</v>
      </c>
      <c r="I39" s="11" t="s">
        <v>468</v>
      </c>
      <c r="J39" s="11" t="s">
        <v>67</v>
      </c>
      <c r="K39" s="11" t="s">
        <v>3102</v>
      </c>
      <c r="L39" s="12" t="s">
        <v>25</v>
      </c>
      <c r="M39" s="11" t="s">
        <v>3103</v>
      </c>
      <c r="N39" s="11" t="s">
        <v>329</v>
      </c>
      <c r="O39" s="11">
        <v>1</v>
      </c>
      <c r="P39" s="11" t="s">
        <v>330</v>
      </c>
      <c r="Q39" s="11" t="s">
        <v>67</v>
      </c>
      <c r="R39" s="11" t="s">
        <v>212</v>
      </c>
      <c r="S39" s="11" t="s">
        <v>2731</v>
      </c>
      <c r="T39" s="11" t="s">
        <v>1766</v>
      </c>
      <c r="U39" s="11" t="s">
        <v>3104</v>
      </c>
      <c r="V39" s="11" t="s">
        <v>2940</v>
      </c>
      <c r="W39" s="11" t="s">
        <v>3103</v>
      </c>
      <c r="X39" s="23" t="s">
        <v>67</v>
      </c>
      <c r="Y39" s="13" t="s">
        <v>67</v>
      </c>
    </row>
    <row r="40" spans="1:25" ht="33.950000000000003" customHeight="1">
      <c r="A40" s="11" t="s">
        <v>55</v>
      </c>
      <c r="B40" s="11" t="s">
        <v>17</v>
      </c>
      <c r="C40" s="11" t="s">
        <v>3105</v>
      </c>
      <c r="D40" s="11" t="s">
        <v>3106</v>
      </c>
      <c r="E40" s="11" t="s">
        <v>3101</v>
      </c>
      <c r="F40" s="11" t="s">
        <v>59</v>
      </c>
      <c r="G40" s="11" t="s">
        <v>60</v>
      </c>
      <c r="H40" s="11" t="s">
        <v>200</v>
      </c>
      <c r="I40" s="11" t="s">
        <v>400</v>
      </c>
      <c r="J40" s="11" t="s">
        <v>67</v>
      </c>
      <c r="K40" s="11" t="s">
        <v>3107</v>
      </c>
      <c r="L40" s="12" t="s">
        <v>25</v>
      </c>
      <c r="M40" s="11" t="s">
        <v>3103</v>
      </c>
      <c r="N40" s="11" t="s">
        <v>329</v>
      </c>
      <c r="O40" s="11">
        <v>1</v>
      </c>
      <c r="P40" s="11" t="s">
        <v>330</v>
      </c>
      <c r="Q40" s="11" t="s">
        <v>67</v>
      </c>
      <c r="R40" s="11" t="s">
        <v>212</v>
      </c>
      <c r="S40" s="11" t="s">
        <v>2731</v>
      </c>
      <c r="T40" s="11" t="s">
        <v>1766</v>
      </c>
      <c r="U40" s="11" t="s">
        <v>3104</v>
      </c>
      <c r="V40" s="11" t="s">
        <v>2940</v>
      </c>
      <c r="W40" s="11" t="s">
        <v>3103</v>
      </c>
      <c r="X40" s="23" t="s">
        <v>67</v>
      </c>
      <c r="Y40" s="13" t="s">
        <v>67</v>
      </c>
    </row>
    <row r="41" spans="1:25" ht="33.950000000000003" customHeight="1">
      <c r="A41" s="11" t="s">
        <v>55</v>
      </c>
      <c r="B41" s="11" t="s">
        <v>13</v>
      </c>
      <c r="C41" s="11" t="s">
        <v>3108</v>
      </c>
      <c r="D41" s="11" t="s">
        <v>3109</v>
      </c>
      <c r="E41" s="11" t="s">
        <v>3110</v>
      </c>
      <c r="F41" s="11" t="s">
        <v>1870</v>
      </c>
      <c r="G41" s="11" t="s">
        <v>60</v>
      </c>
      <c r="H41" s="11" t="s">
        <v>1871</v>
      </c>
      <c r="I41" s="11" t="s">
        <v>3111</v>
      </c>
      <c r="J41" s="11" t="s">
        <v>67</v>
      </c>
      <c r="K41" s="11" t="s">
        <v>3112</v>
      </c>
      <c r="L41" s="12" t="s">
        <v>25</v>
      </c>
      <c r="M41" s="11" t="s">
        <v>3113</v>
      </c>
      <c r="N41" s="11" t="s">
        <v>67</v>
      </c>
      <c r="O41" s="11" t="s">
        <v>67</v>
      </c>
      <c r="P41" s="11" t="s">
        <v>67</v>
      </c>
      <c r="Q41" s="11" t="s">
        <v>67</v>
      </c>
      <c r="R41" s="11" t="s">
        <v>212</v>
      </c>
      <c r="S41" s="11" t="s">
        <v>3114</v>
      </c>
      <c r="T41" s="11" t="s">
        <v>1766</v>
      </c>
      <c r="U41" s="11" t="s">
        <v>3115</v>
      </c>
      <c r="V41" s="11" t="s">
        <v>2940</v>
      </c>
      <c r="W41" s="11" t="s">
        <v>3113</v>
      </c>
      <c r="X41" s="23" t="s">
        <v>67</v>
      </c>
      <c r="Y41" s="13" t="s">
        <v>67</v>
      </c>
    </row>
    <row r="42" spans="1:25" ht="33.950000000000003" customHeight="1">
      <c r="A42" s="11" t="s">
        <v>55</v>
      </c>
      <c r="B42" s="11" t="s">
        <v>17</v>
      </c>
      <c r="C42" s="11" t="s">
        <v>3116</v>
      </c>
      <c r="D42" s="11" t="s">
        <v>3117</v>
      </c>
      <c r="E42" s="11" t="s">
        <v>3110</v>
      </c>
      <c r="F42" s="11" t="s">
        <v>1870</v>
      </c>
      <c r="G42" s="11" t="s">
        <v>60</v>
      </c>
      <c r="H42" s="11" t="s">
        <v>1871</v>
      </c>
      <c r="I42" s="11" t="s">
        <v>3111</v>
      </c>
      <c r="J42" s="11" t="s">
        <v>67</v>
      </c>
      <c r="K42" s="11" t="s">
        <v>3112</v>
      </c>
      <c r="L42" s="12" t="s">
        <v>25</v>
      </c>
      <c r="M42" s="11" t="s">
        <v>3118</v>
      </c>
      <c r="N42" s="11" t="s">
        <v>67</v>
      </c>
      <c r="O42" s="11" t="s">
        <v>67</v>
      </c>
      <c r="P42" s="11" t="s">
        <v>67</v>
      </c>
      <c r="Q42" s="11" t="s">
        <v>67</v>
      </c>
      <c r="R42" s="11" t="s">
        <v>212</v>
      </c>
      <c r="S42" s="11" t="s">
        <v>3114</v>
      </c>
      <c r="T42" s="11" t="s">
        <v>1766</v>
      </c>
      <c r="U42" s="11" t="s">
        <v>3115</v>
      </c>
      <c r="V42" s="11" t="s">
        <v>2940</v>
      </c>
      <c r="W42" s="11" t="s">
        <v>3118</v>
      </c>
      <c r="X42" s="23" t="s">
        <v>67</v>
      </c>
      <c r="Y42" s="13" t="s">
        <v>67</v>
      </c>
    </row>
    <row r="43" spans="1:25" ht="48" customHeight="1">
      <c r="A43" s="11" t="s">
        <v>55</v>
      </c>
      <c r="B43" s="11" t="s">
        <v>13</v>
      </c>
      <c r="C43" s="11" t="s">
        <v>3119</v>
      </c>
      <c r="D43" s="11" t="s">
        <v>3120</v>
      </c>
      <c r="E43" s="11" t="s">
        <v>3121</v>
      </c>
      <c r="F43" s="11" t="s">
        <v>59</v>
      </c>
      <c r="G43" s="11" t="s">
        <v>60</v>
      </c>
      <c r="H43" s="11" t="s">
        <v>61</v>
      </c>
      <c r="I43" s="11" t="s">
        <v>2973</v>
      </c>
      <c r="J43" s="11" t="s">
        <v>67</v>
      </c>
      <c r="K43" s="11" t="s">
        <v>3122</v>
      </c>
      <c r="L43" s="12" t="s">
        <v>25</v>
      </c>
      <c r="M43" s="11" t="s">
        <v>3123</v>
      </c>
      <c r="N43" s="11" t="s">
        <v>3071</v>
      </c>
      <c r="O43" s="11">
        <v>2</v>
      </c>
      <c r="P43" s="11" t="s">
        <v>3124</v>
      </c>
      <c r="Q43" s="11" t="s">
        <v>67</v>
      </c>
      <c r="R43" s="11" t="s">
        <v>212</v>
      </c>
      <c r="S43" s="11" t="s">
        <v>3125</v>
      </c>
      <c r="T43" s="11" t="s">
        <v>1766</v>
      </c>
      <c r="U43" s="11" t="s">
        <v>3126</v>
      </c>
      <c r="V43" s="11" t="s">
        <v>2940</v>
      </c>
      <c r="W43" s="11" t="s">
        <v>3123</v>
      </c>
      <c r="X43" s="23" t="s">
        <v>67</v>
      </c>
      <c r="Y43" s="13" t="s">
        <v>67</v>
      </c>
    </row>
    <row r="44" spans="1:25" ht="48" customHeight="1">
      <c r="A44" s="11" t="s">
        <v>55</v>
      </c>
      <c r="B44" s="11" t="s">
        <v>17</v>
      </c>
      <c r="C44" s="11" t="s">
        <v>3127</v>
      </c>
      <c r="D44" s="11" t="s">
        <v>3128</v>
      </c>
      <c r="E44" s="11" t="s">
        <v>3121</v>
      </c>
      <c r="F44" s="11" t="s">
        <v>59</v>
      </c>
      <c r="G44" s="11" t="s">
        <v>60</v>
      </c>
      <c r="H44" s="11" t="s">
        <v>61</v>
      </c>
      <c r="I44" s="11" t="s">
        <v>2973</v>
      </c>
      <c r="J44" s="11" t="s">
        <v>67</v>
      </c>
      <c r="K44" s="11" t="s">
        <v>3122</v>
      </c>
      <c r="L44" s="12" t="s">
        <v>25</v>
      </c>
      <c r="M44" s="11" t="s">
        <v>3129</v>
      </c>
      <c r="N44" s="11" t="s">
        <v>3071</v>
      </c>
      <c r="O44" s="11">
        <v>2</v>
      </c>
      <c r="P44" s="11" t="s">
        <v>3124</v>
      </c>
      <c r="Q44" s="11" t="s">
        <v>67</v>
      </c>
      <c r="R44" s="11" t="s">
        <v>212</v>
      </c>
      <c r="S44" s="11" t="s">
        <v>3125</v>
      </c>
      <c r="T44" s="11" t="s">
        <v>1766</v>
      </c>
      <c r="U44" s="11" t="s">
        <v>3130</v>
      </c>
      <c r="V44" s="11" t="s">
        <v>2940</v>
      </c>
      <c r="W44" s="11" t="s">
        <v>3129</v>
      </c>
      <c r="X44" s="23" t="s">
        <v>67</v>
      </c>
      <c r="Y44" s="13" t="s">
        <v>67</v>
      </c>
    </row>
    <row r="45" spans="1:25" ht="48" customHeight="1">
      <c r="A45" s="11" t="s">
        <v>55</v>
      </c>
      <c r="B45" s="11" t="s">
        <v>13</v>
      </c>
      <c r="C45" s="11" t="s">
        <v>3131</v>
      </c>
      <c r="D45" s="11" t="s">
        <v>3132</v>
      </c>
      <c r="E45" s="11" t="s">
        <v>3121</v>
      </c>
      <c r="F45" s="11" t="s">
        <v>59</v>
      </c>
      <c r="G45" s="11" t="s">
        <v>60</v>
      </c>
      <c r="H45" s="11" t="s">
        <v>194</v>
      </c>
      <c r="I45" s="11" t="s">
        <v>224</v>
      </c>
      <c r="J45" s="11" t="s">
        <v>67</v>
      </c>
      <c r="K45" s="11" t="s">
        <v>3133</v>
      </c>
      <c r="L45" s="12" t="s">
        <v>25</v>
      </c>
      <c r="M45" s="11" t="s">
        <v>3123</v>
      </c>
      <c r="N45" s="11" t="s">
        <v>3071</v>
      </c>
      <c r="O45" s="11">
        <v>2</v>
      </c>
      <c r="P45" s="11" t="s">
        <v>3124</v>
      </c>
      <c r="Q45" s="11" t="s">
        <v>67</v>
      </c>
      <c r="R45" s="11" t="s">
        <v>212</v>
      </c>
      <c r="S45" s="11" t="s">
        <v>3125</v>
      </c>
      <c r="T45" s="11" t="s">
        <v>1766</v>
      </c>
      <c r="U45" s="11" t="s">
        <v>3134</v>
      </c>
      <c r="V45" s="11" t="s">
        <v>2940</v>
      </c>
      <c r="W45" s="11" t="s">
        <v>3123</v>
      </c>
      <c r="X45" s="23" t="s">
        <v>67</v>
      </c>
      <c r="Y45" s="13" t="s">
        <v>67</v>
      </c>
    </row>
    <row r="46" spans="1:25" ht="48" customHeight="1">
      <c r="A46" s="11" t="s">
        <v>55</v>
      </c>
      <c r="B46" s="11" t="s">
        <v>17</v>
      </c>
      <c r="C46" s="11" t="s">
        <v>3135</v>
      </c>
      <c r="D46" s="11" t="s">
        <v>3136</v>
      </c>
      <c r="E46" s="11" t="s">
        <v>3121</v>
      </c>
      <c r="F46" s="11" t="s">
        <v>59</v>
      </c>
      <c r="G46" s="11" t="s">
        <v>60</v>
      </c>
      <c r="H46" s="11" t="s">
        <v>194</v>
      </c>
      <c r="I46" s="11" t="s">
        <v>224</v>
      </c>
      <c r="J46" s="11" t="s">
        <v>67</v>
      </c>
      <c r="K46" s="11" t="s">
        <v>3133</v>
      </c>
      <c r="L46" s="12" t="s">
        <v>25</v>
      </c>
      <c r="M46" s="11" t="s">
        <v>3129</v>
      </c>
      <c r="N46" s="11" t="s">
        <v>3071</v>
      </c>
      <c r="O46" s="11">
        <v>2</v>
      </c>
      <c r="P46" s="11" t="s">
        <v>3124</v>
      </c>
      <c r="Q46" s="11" t="s">
        <v>67</v>
      </c>
      <c r="R46" s="11" t="s">
        <v>212</v>
      </c>
      <c r="S46" s="11" t="s">
        <v>3125</v>
      </c>
      <c r="T46" s="11" t="s">
        <v>1766</v>
      </c>
      <c r="U46" s="11" t="s">
        <v>3137</v>
      </c>
      <c r="V46" s="11" t="s">
        <v>2940</v>
      </c>
      <c r="W46" s="11" t="s">
        <v>3129</v>
      </c>
      <c r="X46" s="23" t="s">
        <v>67</v>
      </c>
      <c r="Y46" s="13" t="s">
        <v>67</v>
      </c>
    </row>
    <row r="47" spans="1:25" ht="48" customHeight="1">
      <c r="A47" s="11" t="s">
        <v>55</v>
      </c>
      <c r="B47" s="11" t="s">
        <v>13</v>
      </c>
      <c r="C47" s="11" t="s">
        <v>3138</v>
      </c>
      <c r="D47" s="11" t="s">
        <v>3139</v>
      </c>
      <c r="E47" s="11" t="s">
        <v>3121</v>
      </c>
      <c r="F47" s="11" t="s">
        <v>59</v>
      </c>
      <c r="G47" s="11" t="s">
        <v>60</v>
      </c>
      <c r="H47" s="11" t="s">
        <v>200</v>
      </c>
      <c r="I47" s="11" t="s">
        <v>439</v>
      </c>
      <c r="J47" s="11" t="s">
        <v>67</v>
      </c>
      <c r="K47" s="11" t="s">
        <v>3140</v>
      </c>
      <c r="L47" s="12" t="s">
        <v>25</v>
      </c>
      <c r="M47" s="11" t="s">
        <v>3123</v>
      </c>
      <c r="N47" s="11" t="s">
        <v>3071</v>
      </c>
      <c r="O47" s="11">
        <v>2</v>
      </c>
      <c r="P47" s="11" t="s">
        <v>3124</v>
      </c>
      <c r="Q47" s="11" t="s">
        <v>67</v>
      </c>
      <c r="R47" s="11" t="s">
        <v>212</v>
      </c>
      <c r="S47" s="11" t="s">
        <v>3125</v>
      </c>
      <c r="T47" s="11" t="s">
        <v>1766</v>
      </c>
      <c r="U47" s="11" t="s">
        <v>3134</v>
      </c>
      <c r="V47" s="11" t="s">
        <v>2940</v>
      </c>
      <c r="W47" s="11" t="s">
        <v>3123</v>
      </c>
      <c r="X47" s="23" t="s">
        <v>67</v>
      </c>
      <c r="Y47" s="13" t="s">
        <v>67</v>
      </c>
    </row>
    <row r="48" spans="1:25" ht="48" customHeight="1">
      <c r="A48" s="11" t="s">
        <v>55</v>
      </c>
      <c r="B48" s="11" t="s">
        <v>17</v>
      </c>
      <c r="C48" s="11" t="s">
        <v>3141</v>
      </c>
      <c r="D48" s="11" t="s">
        <v>3142</v>
      </c>
      <c r="E48" s="11" t="s">
        <v>3121</v>
      </c>
      <c r="F48" s="11" t="s">
        <v>59</v>
      </c>
      <c r="G48" s="11" t="s">
        <v>60</v>
      </c>
      <c r="H48" s="11" t="s">
        <v>200</v>
      </c>
      <c r="I48" s="11" t="s">
        <v>439</v>
      </c>
      <c r="J48" s="11" t="s">
        <v>67</v>
      </c>
      <c r="K48" s="11" t="s">
        <v>3140</v>
      </c>
      <c r="L48" s="12" t="s">
        <v>25</v>
      </c>
      <c r="M48" s="11" t="s">
        <v>3129</v>
      </c>
      <c r="N48" s="11" t="s">
        <v>3071</v>
      </c>
      <c r="O48" s="11">
        <v>2</v>
      </c>
      <c r="P48" s="11" t="s">
        <v>3124</v>
      </c>
      <c r="Q48" s="11" t="s">
        <v>67</v>
      </c>
      <c r="R48" s="11" t="s">
        <v>212</v>
      </c>
      <c r="S48" s="11" t="s">
        <v>3125</v>
      </c>
      <c r="T48" s="11" t="s">
        <v>1766</v>
      </c>
      <c r="U48" s="11" t="s">
        <v>3137</v>
      </c>
      <c r="V48" s="11" t="s">
        <v>2940</v>
      </c>
      <c r="W48" s="11" t="s">
        <v>3129</v>
      </c>
      <c r="X48" s="23" t="s">
        <v>67</v>
      </c>
      <c r="Y48" s="13" t="s">
        <v>67</v>
      </c>
    </row>
    <row r="49" spans="1:25" ht="75.95" customHeight="1">
      <c r="A49" s="11" t="s">
        <v>55</v>
      </c>
      <c r="B49" s="11" t="s">
        <v>13</v>
      </c>
      <c r="C49" s="11" t="s">
        <v>3143</v>
      </c>
      <c r="D49" s="11" t="s">
        <v>3144</v>
      </c>
      <c r="E49" s="11" t="s">
        <v>3121</v>
      </c>
      <c r="F49" s="11" t="s">
        <v>59</v>
      </c>
      <c r="G49" s="11" t="s">
        <v>60</v>
      </c>
      <c r="H49" s="11" t="s">
        <v>234</v>
      </c>
      <c r="I49" s="11" t="s">
        <v>235</v>
      </c>
      <c r="J49" s="11" t="s">
        <v>67</v>
      </c>
      <c r="K49" s="11" t="s">
        <v>3145</v>
      </c>
      <c r="L49" s="12" t="s">
        <v>25</v>
      </c>
      <c r="M49" s="11" t="s">
        <v>3123</v>
      </c>
      <c r="N49" s="11" t="s">
        <v>3071</v>
      </c>
      <c r="O49" s="11">
        <v>2</v>
      </c>
      <c r="P49" s="11" t="s">
        <v>3146</v>
      </c>
      <c r="Q49" s="11" t="s">
        <v>67</v>
      </c>
      <c r="R49" s="11" t="s">
        <v>212</v>
      </c>
      <c r="S49" s="11" t="s">
        <v>3125</v>
      </c>
      <c r="T49" s="11" t="s">
        <v>1766</v>
      </c>
      <c r="U49" s="11" t="s">
        <v>3134</v>
      </c>
      <c r="V49" s="11" t="s">
        <v>2940</v>
      </c>
      <c r="W49" s="11" t="s">
        <v>3123</v>
      </c>
      <c r="X49" s="23" t="s">
        <v>67</v>
      </c>
      <c r="Y49" s="13" t="s">
        <v>67</v>
      </c>
    </row>
    <row r="50" spans="1:25" ht="75.95" customHeight="1">
      <c r="A50" s="11" t="s">
        <v>55</v>
      </c>
      <c r="B50" s="11" t="s">
        <v>17</v>
      </c>
      <c r="C50" s="11" t="s">
        <v>3147</v>
      </c>
      <c r="D50" s="11" t="s">
        <v>3148</v>
      </c>
      <c r="E50" s="11" t="s">
        <v>3121</v>
      </c>
      <c r="F50" s="11" t="s">
        <v>59</v>
      </c>
      <c r="G50" s="11" t="s">
        <v>60</v>
      </c>
      <c r="H50" s="11" t="s">
        <v>234</v>
      </c>
      <c r="I50" s="11" t="s">
        <v>235</v>
      </c>
      <c r="J50" s="11" t="s">
        <v>67</v>
      </c>
      <c r="K50" s="11" t="s">
        <v>3145</v>
      </c>
      <c r="L50" s="12" t="s">
        <v>25</v>
      </c>
      <c r="M50" s="11" t="s">
        <v>3129</v>
      </c>
      <c r="N50" s="11" t="s">
        <v>3071</v>
      </c>
      <c r="O50" s="11">
        <v>2</v>
      </c>
      <c r="P50" s="11" t="s">
        <v>3146</v>
      </c>
      <c r="Q50" s="11" t="s">
        <v>67</v>
      </c>
      <c r="R50" s="11" t="s">
        <v>212</v>
      </c>
      <c r="S50" s="11" t="s">
        <v>3125</v>
      </c>
      <c r="T50" s="11" t="s">
        <v>1766</v>
      </c>
      <c r="U50" s="11" t="s">
        <v>3137</v>
      </c>
      <c r="V50" s="11" t="s">
        <v>2940</v>
      </c>
      <c r="W50" s="11" t="s">
        <v>3129</v>
      </c>
      <c r="X50" s="23" t="s">
        <v>67</v>
      </c>
      <c r="Y50" s="13" t="s">
        <v>67</v>
      </c>
    </row>
    <row r="51" spans="1:25" ht="48" customHeight="1">
      <c r="A51" s="11" t="s">
        <v>55</v>
      </c>
      <c r="B51" s="11" t="s">
        <v>13</v>
      </c>
      <c r="C51" s="11" t="s">
        <v>3149</v>
      </c>
      <c r="D51" s="11" t="s">
        <v>3150</v>
      </c>
      <c r="E51" s="11" t="s">
        <v>3151</v>
      </c>
      <c r="F51" s="11" t="s">
        <v>59</v>
      </c>
      <c r="G51" s="11" t="s">
        <v>60</v>
      </c>
      <c r="H51" s="11" t="s">
        <v>194</v>
      </c>
      <c r="I51" s="11" t="s">
        <v>410</v>
      </c>
      <c r="J51" s="11" t="s">
        <v>67</v>
      </c>
      <c r="K51" s="11" t="s">
        <v>3152</v>
      </c>
      <c r="L51" s="12" t="s">
        <v>25</v>
      </c>
      <c r="M51" s="11" t="s">
        <v>3153</v>
      </c>
      <c r="N51" s="11" t="s">
        <v>2976</v>
      </c>
      <c r="O51" s="11">
        <v>10</v>
      </c>
      <c r="P51" s="11" t="s">
        <v>343</v>
      </c>
      <c r="Q51" s="11" t="s">
        <v>67</v>
      </c>
      <c r="R51" s="11" t="s">
        <v>212</v>
      </c>
      <c r="S51" s="11" t="s">
        <v>3154</v>
      </c>
      <c r="T51" s="11" t="s">
        <v>1766</v>
      </c>
      <c r="U51" s="11" t="s">
        <v>3155</v>
      </c>
      <c r="V51" s="11" t="s">
        <v>2940</v>
      </c>
      <c r="W51" s="11" t="s">
        <v>3153</v>
      </c>
      <c r="X51" s="23" t="s">
        <v>67</v>
      </c>
      <c r="Y51" s="13" t="s">
        <v>67</v>
      </c>
    </row>
    <row r="52" spans="1:25" ht="48" customHeight="1">
      <c r="A52" s="11" t="s">
        <v>55</v>
      </c>
      <c r="B52" s="11" t="s">
        <v>17</v>
      </c>
      <c r="C52" s="11" t="s">
        <v>3156</v>
      </c>
      <c r="D52" s="11" t="s">
        <v>3157</v>
      </c>
      <c r="E52" s="11" t="s">
        <v>3151</v>
      </c>
      <c r="F52" s="11" t="s">
        <v>59</v>
      </c>
      <c r="G52" s="11" t="s">
        <v>60</v>
      </c>
      <c r="H52" s="11" t="s">
        <v>194</v>
      </c>
      <c r="I52" s="11" t="s">
        <v>410</v>
      </c>
      <c r="J52" s="11" t="s">
        <v>67</v>
      </c>
      <c r="K52" s="11" t="s">
        <v>3152</v>
      </c>
      <c r="L52" s="12" t="s">
        <v>25</v>
      </c>
      <c r="M52" s="11" t="s">
        <v>3158</v>
      </c>
      <c r="N52" s="11" t="s">
        <v>2976</v>
      </c>
      <c r="O52" s="11">
        <v>10</v>
      </c>
      <c r="P52" s="11" t="s">
        <v>343</v>
      </c>
      <c r="Q52" s="11" t="s">
        <v>67</v>
      </c>
      <c r="R52" s="11" t="s">
        <v>212</v>
      </c>
      <c r="S52" s="11" t="s">
        <v>3154</v>
      </c>
      <c r="T52" s="11" t="s">
        <v>1766</v>
      </c>
      <c r="U52" s="11" t="s">
        <v>3159</v>
      </c>
      <c r="V52" s="11" t="s">
        <v>2940</v>
      </c>
      <c r="W52" s="11" t="s">
        <v>3158</v>
      </c>
      <c r="X52" s="23" t="s">
        <v>67</v>
      </c>
      <c r="Y52" s="13" t="s">
        <v>67</v>
      </c>
    </row>
    <row r="53" spans="1:25" ht="48" customHeight="1">
      <c r="A53" s="11" t="s">
        <v>55</v>
      </c>
      <c r="B53" s="11" t="s">
        <v>13</v>
      </c>
      <c r="C53" s="11" t="s">
        <v>3160</v>
      </c>
      <c r="D53" s="11" t="s">
        <v>3161</v>
      </c>
      <c r="E53" s="11" t="s">
        <v>3151</v>
      </c>
      <c r="F53" s="11" t="s">
        <v>59</v>
      </c>
      <c r="G53" s="11" t="s">
        <v>60</v>
      </c>
      <c r="H53" s="11" t="s">
        <v>200</v>
      </c>
      <c r="I53" s="11" t="s">
        <v>341</v>
      </c>
      <c r="J53" s="11" t="s">
        <v>67</v>
      </c>
      <c r="K53" s="11" t="s">
        <v>3162</v>
      </c>
      <c r="L53" s="12" t="s">
        <v>25</v>
      </c>
      <c r="M53" s="11" t="s">
        <v>3153</v>
      </c>
      <c r="N53" s="11" t="s">
        <v>2976</v>
      </c>
      <c r="O53" s="11">
        <v>10</v>
      </c>
      <c r="P53" s="11" t="s">
        <v>343</v>
      </c>
      <c r="Q53" s="11" t="s">
        <v>67</v>
      </c>
      <c r="R53" s="11" t="s">
        <v>212</v>
      </c>
      <c r="S53" s="11" t="s">
        <v>3154</v>
      </c>
      <c r="T53" s="11" t="s">
        <v>1766</v>
      </c>
      <c r="U53" s="11" t="s">
        <v>3155</v>
      </c>
      <c r="V53" s="11" t="s">
        <v>2940</v>
      </c>
      <c r="W53" s="11" t="s">
        <v>3153</v>
      </c>
      <c r="X53" s="23" t="s">
        <v>67</v>
      </c>
      <c r="Y53" s="13" t="s">
        <v>67</v>
      </c>
    </row>
    <row r="54" spans="1:25" ht="48" customHeight="1">
      <c r="A54" s="11" t="s">
        <v>55</v>
      </c>
      <c r="B54" s="11" t="s">
        <v>17</v>
      </c>
      <c r="C54" s="11" t="s">
        <v>3163</v>
      </c>
      <c r="D54" s="11" t="s">
        <v>3164</v>
      </c>
      <c r="E54" s="11" t="s">
        <v>3151</v>
      </c>
      <c r="F54" s="11" t="s">
        <v>59</v>
      </c>
      <c r="G54" s="11" t="s">
        <v>60</v>
      </c>
      <c r="H54" s="11" t="s">
        <v>200</v>
      </c>
      <c r="I54" s="11" t="s">
        <v>341</v>
      </c>
      <c r="J54" s="11" t="s">
        <v>67</v>
      </c>
      <c r="K54" s="11" t="s">
        <v>3162</v>
      </c>
      <c r="L54" s="12" t="s">
        <v>25</v>
      </c>
      <c r="M54" s="11" t="s">
        <v>3158</v>
      </c>
      <c r="N54" s="11" t="s">
        <v>2976</v>
      </c>
      <c r="O54" s="11">
        <v>10</v>
      </c>
      <c r="P54" s="11" t="s">
        <v>343</v>
      </c>
      <c r="Q54" s="11" t="s">
        <v>67</v>
      </c>
      <c r="R54" s="11" t="s">
        <v>212</v>
      </c>
      <c r="S54" s="11" t="s">
        <v>3154</v>
      </c>
      <c r="T54" s="11" t="s">
        <v>1766</v>
      </c>
      <c r="U54" s="11" t="s">
        <v>3159</v>
      </c>
      <c r="V54" s="11" t="s">
        <v>2940</v>
      </c>
      <c r="W54" s="11" t="s">
        <v>3158</v>
      </c>
      <c r="X54" s="23" t="s">
        <v>67</v>
      </c>
      <c r="Y54" s="13" t="s">
        <v>67</v>
      </c>
    </row>
    <row r="55" spans="1:25" ht="48" customHeight="1">
      <c r="A55" s="11" t="s">
        <v>55</v>
      </c>
      <c r="B55" s="11" t="s">
        <v>13</v>
      </c>
      <c r="C55" s="11" t="s">
        <v>3165</v>
      </c>
      <c r="D55" s="11" t="s">
        <v>3166</v>
      </c>
      <c r="E55" s="11" t="s">
        <v>3151</v>
      </c>
      <c r="F55" s="11" t="s">
        <v>59</v>
      </c>
      <c r="G55" s="11" t="s">
        <v>60</v>
      </c>
      <c r="H55" s="11" t="s">
        <v>346</v>
      </c>
      <c r="I55" s="11" t="s">
        <v>2997</v>
      </c>
      <c r="J55" s="11" t="s">
        <v>67</v>
      </c>
      <c r="K55" s="11" t="s">
        <v>3152</v>
      </c>
      <c r="L55" s="12" t="s">
        <v>25</v>
      </c>
      <c r="M55" s="11" t="s">
        <v>3153</v>
      </c>
      <c r="N55" s="11" t="s">
        <v>2976</v>
      </c>
      <c r="O55" s="11">
        <v>10</v>
      </c>
      <c r="P55" s="11" t="s">
        <v>343</v>
      </c>
      <c r="Q55" s="11" t="s">
        <v>67</v>
      </c>
      <c r="R55" s="11" t="s">
        <v>212</v>
      </c>
      <c r="S55" s="11" t="s">
        <v>3154</v>
      </c>
      <c r="T55" s="11" t="s">
        <v>1766</v>
      </c>
      <c r="U55" s="11" t="s">
        <v>3155</v>
      </c>
      <c r="V55" s="11" t="s">
        <v>2940</v>
      </c>
      <c r="W55" s="11" t="s">
        <v>3153</v>
      </c>
      <c r="X55" s="23" t="s">
        <v>67</v>
      </c>
      <c r="Y55" s="13" t="s">
        <v>67</v>
      </c>
    </row>
    <row r="56" spans="1:25" ht="48" customHeight="1">
      <c r="A56" s="11" t="s">
        <v>55</v>
      </c>
      <c r="B56" s="11" t="s">
        <v>17</v>
      </c>
      <c r="C56" s="11" t="s">
        <v>3167</v>
      </c>
      <c r="D56" s="11" t="s">
        <v>3168</v>
      </c>
      <c r="E56" s="11" t="s">
        <v>3151</v>
      </c>
      <c r="F56" s="11" t="s">
        <v>59</v>
      </c>
      <c r="G56" s="11" t="s">
        <v>60</v>
      </c>
      <c r="H56" s="11" t="s">
        <v>346</v>
      </c>
      <c r="I56" s="11" t="s">
        <v>2997</v>
      </c>
      <c r="J56" s="11" t="s">
        <v>67</v>
      </c>
      <c r="K56" s="11" t="s">
        <v>3152</v>
      </c>
      <c r="L56" s="12" t="s">
        <v>25</v>
      </c>
      <c r="M56" s="11" t="s">
        <v>3158</v>
      </c>
      <c r="N56" s="11" t="s">
        <v>2976</v>
      </c>
      <c r="O56" s="11">
        <v>10</v>
      </c>
      <c r="P56" s="11" t="s">
        <v>343</v>
      </c>
      <c r="Q56" s="11" t="s">
        <v>67</v>
      </c>
      <c r="R56" s="11" t="s">
        <v>212</v>
      </c>
      <c r="S56" s="11" t="s">
        <v>3154</v>
      </c>
      <c r="T56" s="11" t="s">
        <v>1766</v>
      </c>
      <c r="U56" s="11" t="s">
        <v>3159</v>
      </c>
      <c r="V56" s="11" t="s">
        <v>2940</v>
      </c>
      <c r="W56" s="11" t="s">
        <v>3158</v>
      </c>
      <c r="X56" s="23" t="s">
        <v>67</v>
      </c>
      <c r="Y56" s="13" t="s">
        <v>67</v>
      </c>
    </row>
    <row r="57" spans="1:25" ht="48" customHeight="1">
      <c r="A57" s="11" t="s">
        <v>55</v>
      </c>
      <c r="B57" s="11" t="s">
        <v>13</v>
      </c>
      <c r="C57" s="11" t="s">
        <v>3169</v>
      </c>
      <c r="D57" s="11" t="s">
        <v>3170</v>
      </c>
      <c r="E57" s="11" t="s">
        <v>3171</v>
      </c>
      <c r="F57" s="11" t="s">
        <v>59</v>
      </c>
      <c r="G57" s="11" t="s">
        <v>60</v>
      </c>
      <c r="H57" s="11" t="s">
        <v>194</v>
      </c>
      <c r="I57" s="11" t="s">
        <v>410</v>
      </c>
      <c r="J57" s="11" t="s">
        <v>67</v>
      </c>
      <c r="K57" s="11" t="s">
        <v>3172</v>
      </c>
      <c r="L57" s="12" t="s">
        <v>25</v>
      </c>
      <c r="M57" s="11" t="s">
        <v>3173</v>
      </c>
      <c r="N57" s="11" t="s">
        <v>2976</v>
      </c>
      <c r="O57" s="11">
        <v>10</v>
      </c>
      <c r="P57" s="11" t="s">
        <v>343</v>
      </c>
      <c r="Q57" s="11" t="s">
        <v>67</v>
      </c>
      <c r="R57" s="11" t="s">
        <v>212</v>
      </c>
      <c r="S57" s="11" t="s">
        <v>3174</v>
      </c>
      <c r="T57" s="11" t="s">
        <v>1766</v>
      </c>
      <c r="U57" s="11" t="s">
        <v>3175</v>
      </c>
      <c r="V57" s="11" t="s">
        <v>2940</v>
      </c>
      <c r="W57" s="11" t="s">
        <v>3173</v>
      </c>
      <c r="X57" s="23" t="s">
        <v>67</v>
      </c>
      <c r="Y57" s="13" t="s">
        <v>67</v>
      </c>
    </row>
    <row r="58" spans="1:25" ht="48" customHeight="1">
      <c r="A58" s="11" t="s">
        <v>55</v>
      </c>
      <c r="B58" s="11" t="s">
        <v>17</v>
      </c>
      <c r="C58" s="11" t="s">
        <v>3176</v>
      </c>
      <c r="D58" s="11" t="s">
        <v>3177</v>
      </c>
      <c r="E58" s="11" t="s">
        <v>3171</v>
      </c>
      <c r="F58" s="11" t="s">
        <v>59</v>
      </c>
      <c r="G58" s="11" t="s">
        <v>60</v>
      </c>
      <c r="H58" s="11" t="s">
        <v>194</v>
      </c>
      <c r="I58" s="11" t="s">
        <v>410</v>
      </c>
      <c r="J58" s="11" t="s">
        <v>67</v>
      </c>
      <c r="K58" s="11" t="s">
        <v>3172</v>
      </c>
      <c r="L58" s="12" t="s">
        <v>25</v>
      </c>
      <c r="M58" s="11" t="s">
        <v>3178</v>
      </c>
      <c r="N58" s="11" t="s">
        <v>2976</v>
      </c>
      <c r="O58" s="11">
        <v>10</v>
      </c>
      <c r="P58" s="11" t="s">
        <v>343</v>
      </c>
      <c r="Q58" s="11" t="s">
        <v>67</v>
      </c>
      <c r="R58" s="11" t="s">
        <v>212</v>
      </c>
      <c r="S58" s="11" t="s">
        <v>3174</v>
      </c>
      <c r="T58" s="11" t="s">
        <v>1766</v>
      </c>
      <c r="U58" s="11" t="s">
        <v>3179</v>
      </c>
      <c r="V58" s="11" t="s">
        <v>2940</v>
      </c>
      <c r="W58" s="11" t="s">
        <v>3178</v>
      </c>
      <c r="X58" s="23" t="s">
        <v>67</v>
      </c>
      <c r="Y58" s="13" t="s">
        <v>67</v>
      </c>
    </row>
    <row r="59" spans="1:25" ht="48" customHeight="1">
      <c r="A59" s="11" t="s">
        <v>55</v>
      </c>
      <c r="B59" s="11" t="s">
        <v>13</v>
      </c>
      <c r="C59" s="11" t="s">
        <v>3180</v>
      </c>
      <c r="D59" s="11" t="s">
        <v>3181</v>
      </c>
      <c r="E59" s="11" t="s">
        <v>3171</v>
      </c>
      <c r="F59" s="11" t="s">
        <v>59</v>
      </c>
      <c r="G59" s="11" t="s">
        <v>60</v>
      </c>
      <c r="H59" s="11" t="s">
        <v>200</v>
      </c>
      <c r="I59" s="11" t="s">
        <v>341</v>
      </c>
      <c r="J59" s="11" t="s">
        <v>67</v>
      </c>
      <c r="K59" s="11" t="s">
        <v>3182</v>
      </c>
      <c r="L59" s="12" t="s">
        <v>25</v>
      </c>
      <c r="M59" s="11" t="s">
        <v>3173</v>
      </c>
      <c r="N59" s="11" t="s">
        <v>2976</v>
      </c>
      <c r="O59" s="11">
        <v>10</v>
      </c>
      <c r="P59" s="11" t="s">
        <v>343</v>
      </c>
      <c r="Q59" s="11" t="s">
        <v>67</v>
      </c>
      <c r="R59" s="11" t="s">
        <v>212</v>
      </c>
      <c r="S59" s="11" t="s">
        <v>3174</v>
      </c>
      <c r="T59" s="11" t="s">
        <v>1766</v>
      </c>
      <c r="U59" s="11" t="s">
        <v>3175</v>
      </c>
      <c r="V59" s="11" t="s">
        <v>2940</v>
      </c>
      <c r="W59" s="11" t="s">
        <v>3173</v>
      </c>
      <c r="X59" s="23" t="s">
        <v>67</v>
      </c>
      <c r="Y59" s="13" t="s">
        <v>67</v>
      </c>
    </row>
    <row r="60" spans="1:25" ht="48" customHeight="1">
      <c r="A60" s="11" t="s">
        <v>55</v>
      </c>
      <c r="B60" s="11" t="s">
        <v>17</v>
      </c>
      <c r="C60" s="11" t="s">
        <v>3183</v>
      </c>
      <c r="D60" s="11" t="s">
        <v>3184</v>
      </c>
      <c r="E60" s="11" t="s">
        <v>3171</v>
      </c>
      <c r="F60" s="11" t="s">
        <v>59</v>
      </c>
      <c r="G60" s="11" t="s">
        <v>60</v>
      </c>
      <c r="H60" s="11" t="s">
        <v>200</v>
      </c>
      <c r="I60" s="11" t="s">
        <v>341</v>
      </c>
      <c r="J60" s="11" t="s">
        <v>67</v>
      </c>
      <c r="K60" s="11" t="s">
        <v>3182</v>
      </c>
      <c r="L60" s="12" t="s">
        <v>25</v>
      </c>
      <c r="M60" s="11" t="s">
        <v>3178</v>
      </c>
      <c r="N60" s="11" t="s">
        <v>2976</v>
      </c>
      <c r="O60" s="11">
        <v>10</v>
      </c>
      <c r="P60" s="11" t="s">
        <v>343</v>
      </c>
      <c r="Q60" s="11" t="s">
        <v>67</v>
      </c>
      <c r="R60" s="11" t="s">
        <v>212</v>
      </c>
      <c r="S60" s="11" t="s">
        <v>3174</v>
      </c>
      <c r="T60" s="11" t="s">
        <v>1766</v>
      </c>
      <c r="U60" s="11" t="s">
        <v>3179</v>
      </c>
      <c r="V60" s="11" t="s">
        <v>2940</v>
      </c>
      <c r="W60" s="11" t="s">
        <v>3178</v>
      </c>
      <c r="X60" s="23" t="s">
        <v>67</v>
      </c>
      <c r="Y60" s="13" t="s">
        <v>67</v>
      </c>
    </row>
    <row r="61" spans="1:25" ht="48" customHeight="1">
      <c r="A61" s="11" t="s">
        <v>55</v>
      </c>
      <c r="B61" s="11" t="s">
        <v>13</v>
      </c>
      <c r="C61" s="11" t="s">
        <v>3185</v>
      </c>
      <c r="D61" s="11" t="s">
        <v>3186</v>
      </c>
      <c r="E61" s="11" t="s">
        <v>3171</v>
      </c>
      <c r="F61" s="11" t="s">
        <v>59</v>
      </c>
      <c r="G61" s="11" t="s">
        <v>60</v>
      </c>
      <c r="H61" s="11" t="s">
        <v>346</v>
      </c>
      <c r="I61" s="11" t="s">
        <v>2997</v>
      </c>
      <c r="J61" s="11" t="s">
        <v>67</v>
      </c>
      <c r="K61" s="11" t="s">
        <v>3172</v>
      </c>
      <c r="L61" s="12" t="s">
        <v>25</v>
      </c>
      <c r="M61" s="11" t="s">
        <v>3173</v>
      </c>
      <c r="N61" s="11" t="s">
        <v>2976</v>
      </c>
      <c r="O61" s="11">
        <v>10</v>
      </c>
      <c r="P61" s="11" t="s">
        <v>343</v>
      </c>
      <c r="Q61" s="11" t="s">
        <v>67</v>
      </c>
      <c r="R61" s="11" t="s">
        <v>212</v>
      </c>
      <c r="S61" s="11" t="s">
        <v>3174</v>
      </c>
      <c r="T61" s="11" t="s">
        <v>1766</v>
      </c>
      <c r="U61" s="11" t="s">
        <v>3175</v>
      </c>
      <c r="V61" s="11" t="s">
        <v>2940</v>
      </c>
      <c r="W61" s="11" t="s">
        <v>3173</v>
      </c>
      <c r="X61" s="23" t="s">
        <v>67</v>
      </c>
      <c r="Y61" s="13" t="s">
        <v>67</v>
      </c>
    </row>
    <row r="62" spans="1:25" ht="48" customHeight="1">
      <c r="A62" s="11" t="s">
        <v>55</v>
      </c>
      <c r="B62" s="11" t="s">
        <v>17</v>
      </c>
      <c r="C62" s="11" t="s">
        <v>3187</v>
      </c>
      <c r="D62" s="11" t="s">
        <v>3188</v>
      </c>
      <c r="E62" s="11" t="s">
        <v>3171</v>
      </c>
      <c r="F62" s="11" t="s">
        <v>59</v>
      </c>
      <c r="G62" s="11" t="s">
        <v>60</v>
      </c>
      <c r="H62" s="11" t="s">
        <v>346</v>
      </c>
      <c r="I62" s="11" t="s">
        <v>2997</v>
      </c>
      <c r="J62" s="11" t="s">
        <v>67</v>
      </c>
      <c r="K62" s="11" t="s">
        <v>3172</v>
      </c>
      <c r="L62" s="12" t="s">
        <v>25</v>
      </c>
      <c r="M62" s="11" t="s">
        <v>3178</v>
      </c>
      <c r="N62" s="11" t="s">
        <v>2976</v>
      </c>
      <c r="O62" s="11">
        <v>10</v>
      </c>
      <c r="P62" s="11" t="s">
        <v>343</v>
      </c>
      <c r="Q62" s="11" t="s">
        <v>67</v>
      </c>
      <c r="R62" s="11" t="s">
        <v>212</v>
      </c>
      <c r="S62" s="11" t="s">
        <v>3174</v>
      </c>
      <c r="T62" s="11" t="s">
        <v>1766</v>
      </c>
      <c r="U62" s="11" t="s">
        <v>3179</v>
      </c>
      <c r="V62" s="11" t="s">
        <v>2940</v>
      </c>
      <c r="W62" s="11" t="s">
        <v>3178</v>
      </c>
      <c r="X62" s="23" t="s">
        <v>67</v>
      </c>
      <c r="Y62" s="13" t="s">
        <v>67</v>
      </c>
    </row>
    <row r="63" spans="1:25" ht="48" customHeight="1">
      <c r="A63" s="11" t="s">
        <v>55</v>
      </c>
      <c r="B63" s="11" t="s">
        <v>13</v>
      </c>
      <c r="C63" s="11" t="s">
        <v>3189</v>
      </c>
      <c r="D63" s="11" t="s">
        <v>3190</v>
      </c>
      <c r="E63" s="11" t="s">
        <v>3191</v>
      </c>
      <c r="F63" s="11" t="s">
        <v>59</v>
      </c>
      <c r="G63" s="11" t="s">
        <v>60</v>
      </c>
      <c r="H63" s="11" t="s">
        <v>61</v>
      </c>
      <c r="I63" s="11" t="s">
        <v>2973</v>
      </c>
      <c r="J63" s="11" t="s">
        <v>67</v>
      </c>
      <c r="K63" s="11" t="s">
        <v>3192</v>
      </c>
      <c r="L63" s="12" t="s">
        <v>25</v>
      </c>
      <c r="M63" s="11" t="s">
        <v>3193</v>
      </c>
      <c r="N63" s="11" t="s">
        <v>3194</v>
      </c>
      <c r="O63" s="11">
        <v>12</v>
      </c>
      <c r="P63" s="11">
        <v>100</v>
      </c>
      <c r="Q63" s="11" t="s">
        <v>67</v>
      </c>
      <c r="R63" s="11" t="s">
        <v>212</v>
      </c>
      <c r="S63" s="11" t="s">
        <v>3195</v>
      </c>
      <c r="T63" s="11" t="s">
        <v>1766</v>
      </c>
      <c r="U63" s="11" t="s">
        <v>3196</v>
      </c>
      <c r="V63" s="11" t="s">
        <v>2940</v>
      </c>
      <c r="W63" s="11" t="s">
        <v>3193</v>
      </c>
      <c r="X63" s="23" t="s">
        <v>67</v>
      </c>
      <c r="Y63" s="13" t="s">
        <v>67</v>
      </c>
    </row>
    <row r="64" spans="1:25" ht="48" customHeight="1">
      <c r="A64" s="11" t="s">
        <v>55</v>
      </c>
      <c r="B64" s="11" t="s">
        <v>17</v>
      </c>
      <c r="C64" s="11" t="s">
        <v>3197</v>
      </c>
      <c r="D64" s="11" t="s">
        <v>3198</v>
      </c>
      <c r="E64" s="11" t="s">
        <v>3191</v>
      </c>
      <c r="F64" s="11" t="s">
        <v>59</v>
      </c>
      <c r="G64" s="11" t="s">
        <v>60</v>
      </c>
      <c r="H64" s="11" t="s">
        <v>61</v>
      </c>
      <c r="I64" s="11" t="s">
        <v>2973</v>
      </c>
      <c r="J64" s="11" t="s">
        <v>67</v>
      </c>
      <c r="K64" s="11" t="s">
        <v>3192</v>
      </c>
      <c r="L64" s="12" t="s">
        <v>25</v>
      </c>
      <c r="M64" s="11" t="s">
        <v>3199</v>
      </c>
      <c r="N64" s="11" t="s">
        <v>3194</v>
      </c>
      <c r="O64" s="11">
        <v>12</v>
      </c>
      <c r="P64" s="11">
        <v>100</v>
      </c>
      <c r="Q64" s="11" t="s">
        <v>67</v>
      </c>
      <c r="R64" s="11" t="s">
        <v>212</v>
      </c>
      <c r="S64" s="11" t="s">
        <v>3195</v>
      </c>
      <c r="T64" s="11" t="s">
        <v>1766</v>
      </c>
      <c r="U64" s="11" t="s">
        <v>3200</v>
      </c>
      <c r="V64" s="11" t="s">
        <v>2940</v>
      </c>
      <c r="W64" s="11" t="s">
        <v>3199</v>
      </c>
      <c r="X64" s="23" t="s">
        <v>67</v>
      </c>
      <c r="Y64" s="13" t="s">
        <v>67</v>
      </c>
    </row>
    <row r="65" spans="1:25" ht="48" customHeight="1">
      <c r="A65" s="11" t="s">
        <v>55</v>
      </c>
      <c r="B65" s="11" t="s">
        <v>13</v>
      </c>
      <c r="C65" s="11" t="s">
        <v>3201</v>
      </c>
      <c r="D65" s="11" t="s">
        <v>3202</v>
      </c>
      <c r="E65" s="11" t="s">
        <v>3191</v>
      </c>
      <c r="F65" s="11" t="s">
        <v>59</v>
      </c>
      <c r="G65" s="11" t="s">
        <v>60</v>
      </c>
      <c r="H65" s="11" t="s">
        <v>194</v>
      </c>
      <c r="I65" s="11" t="s">
        <v>224</v>
      </c>
      <c r="J65" s="11" t="s">
        <v>67</v>
      </c>
      <c r="K65" s="11" t="s">
        <v>3203</v>
      </c>
      <c r="L65" s="12" t="s">
        <v>25</v>
      </c>
      <c r="M65" s="11" t="s">
        <v>3193</v>
      </c>
      <c r="N65" s="11" t="s">
        <v>3194</v>
      </c>
      <c r="O65" s="11">
        <v>12</v>
      </c>
      <c r="P65" s="11">
        <v>100</v>
      </c>
      <c r="Q65" s="11" t="s">
        <v>67</v>
      </c>
      <c r="R65" s="11" t="s">
        <v>212</v>
      </c>
      <c r="S65" s="11" t="s">
        <v>3195</v>
      </c>
      <c r="T65" s="11" t="s">
        <v>1766</v>
      </c>
      <c r="U65" s="11" t="s">
        <v>3204</v>
      </c>
      <c r="V65" s="11" t="s">
        <v>2940</v>
      </c>
      <c r="W65" s="11" t="s">
        <v>3193</v>
      </c>
      <c r="X65" s="23" t="s">
        <v>67</v>
      </c>
      <c r="Y65" s="13" t="s">
        <v>67</v>
      </c>
    </row>
    <row r="66" spans="1:25" ht="48" customHeight="1">
      <c r="A66" s="11" t="s">
        <v>55</v>
      </c>
      <c r="B66" s="11" t="s">
        <v>17</v>
      </c>
      <c r="C66" s="11" t="s">
        <v>3205</v>
      </c>
      <c r="D66" s="11" t="s">
        <v>3206</v>
      </c>
      <c r="E66" s="11" t="s">
        <v>3191</v>
      </c>
      <c r="F66" s="11" t="s">
        <v>59</v>
      </c>
      <c r="G66" s="11" t="s">
        <v>60</v>
      </c>
      <c r="H66" s="11" t="s">
        <v>194</v>
      </c>
      <c r="I66" s="11" t="s">
        <v>224</v>
      </c>
      <c r="J66" s="11" t="s">
        <v>67</v>
      </c>
      <c r="K66" s="11" t="s">
        <v>3203</v>
      </c>
      <c r="L66" s="12" t="s">
        <v>25</v>
      </c>
      <c r="M66" s="11" t="s">
        <v>3199</v>
      </c>
      <c r="N66" s="11" t="s">
        <v>3194</v>
      </c>
      <c r="O66" s="11">
        <v>12</v>
      </c>
      <c r="P66" s="11">
        <v>100</v>
      </c>
      <c r="Q66" s="11" t="s">
        <v>67</v>
      </c>
      <c r="R66" s="11" t="s">
        <v>212</v>
      </c>
      <c r="S66" s="11" t="s">
        <v>3195</v>
      </c>
      <c r="T66" s="11" t="s">
        <v>1766</v>
      </c>
      <c r="U66" s="11" t="s">
        <v>3207</v>
      </c>
      <c r="V66" s="11" t="s">
        <v>2940</v>
      </c>
      <c r="W66" s="11" t="s">
        <v>3199</v>
      </c>
      <c r="X66" s="23" t="s">
        <v>67</v>
      </c>
      <c r="Y66" s="13" t="s">
        <v>67</v>
      </c>
    </row>
    <row r="67" spans="1:25" ht="33.950000000000003" customHeight="1">
      <c r="A67" s="11" t="s">
        <v>55</v>
      </c>
      <c r="B67" s="11" t="s">
        <v>13</v>
      </c>
      <c r="C67" s="11" t="s">
        <v>3208</v>
      </c>
      <c r="D67" s="11" t="s">
        <v>3209</v>
      </c>
      <c r="E67" s="11" t="s">
        <v>3191</v>
      </c>
      <c r="F67" s="11" t="s">
        <v>59</v>
      </c>
      <c r="G67" s="11" t="s">
        <v>60</v>
      </c>
      <c r="H67" s="11" t="s">
        <v>200</v>
      </c>
      <c r="I67" s="11" t="s">
        <v>3210</v>
      </c>
      <c r="J67" s="11" t="s">
        <v>67</v>
      </c>
      <c r="K67" s="11" t="s">
        <v>3211</v>
      </c>
      <c r="L67" s="12" t="s">
        <v>25</v>
      </c>
      <c r="M67" s="11" t="s">
        <v>3193</v>
      </c>
      <c r="N67" s="11" t="s">
        <v>3194</v>
      </c>
      <c r="O67" s="11">
        <v>12</v>
      </c>
      <c r="P67" s="11">
        <v>100</v>
      </c>
      <c r="Q67" s="11" t="s">
        <v>67</v>
      </c>
      <c r="R67" s="11" t="s">
        <v>212</v>
      </c>
      <c r="S67" s="11" t="s">
        <v>3195</v>
      </c>
      <c r="T67" s="11" t="s">
        <v>1766</v>
      </c>
      <c r="U67" s="11" t="s">
        <v>3204</v>
      </c>
      <c r="V67" s="11" t="s">
        <v>2940</v>
      </c>
      <c r="W67" s="11" t="s">
        <v>3193</v>
      </c>
      <c r="X67" s="23" t="s">
        <v>67</v>
      </c>
      <c r="Y67" s="13" t="s">
        <v>67</v>
      </c>
    </row>
    <row r="68" spans="1:25" ht="33.950000000000003" customHeight="1">
      <c r="A68" s="11" t="s">
        <v>55</v>
      </c>
      <c r="B68" s="11" t="s">
        <v>17</v>
      </c>
      <c r="C68" s="11" t="s">
        <v>3212</v>
      </c>
      <c r="D68" s="11" t="s">
        <v>3213</v>
      </c>
      <c r="E68" s="11" t="s">
        <v>3191</v>
      </c>
      <c r="F68" s="11" t="s">
        <v>59</v>
      </c>
      <c r="G68" s="11" t="s">
        <v>60</v>
      </c>
      <c r="H68" s="11" t="s">
        <v>200</v>
      </c>
      <c r="I68" s="11" t="s">
        <v>3210</v>
      </c>
      <c r="J68" s="11" t="s">
        <v>67</v>
      </c>
      <c r="K68" s="11" t="s">
        <v>3211</v>
      </c>
      <c r="L68" s="12" t="s">
        <v>25</v>
      </c>
      <c r="M68" s="11" t="s">
        <v>3199</v>
      </c>
      <c r="N68" s="11" t="s">
        <v>3194</v>
      </c>
      <c r="O68" s="11">
        <v>12</v>
      </c>
      <c r="P68" s="11">
        <v>100</v>
      </c>
      <c r="Q68" s="11" t="s">
        <v>67</v>
      </c>
      <c r="R68" s="11" t="s">
        <v>212</v>
      </c>
      <c r="S68" s="11" t="s">
        <v>3195</v>
      </c>
      <c r="T68" s="11" t="s">
        <v>1766</v>
      </c>
      <c r="U68" s="11" t="s">
        <v>3207</v>
      </c>
      <c r="V68" s="11" t="s">
        <v>2940</v>
      </c>
      <c r="W68" s="11" t="s">
        <v>3199</v>
      </c>
      <c r="X68" s="23" t="s">
        <v>67</v>
      </c>
      <c r="Y68" s="13" t="s">
        <v>67</v>
      </c>
    </row>
    <row r="69" spans="1:25" ht="33.950000000000003" customHeight="1">
      <c r="A69" s="11" t="s">
        <v>55</v>
      </c>
      <c r="B69" s="11" t="s">
        <v>13</v>
      </c>
      <c r="C69" s="11" t="s">
        <v>3214</v>
      </c>
      <c r="D69" s="11" t="s">
        <v>3215</v>
      </c>
      <c r="E69" s="11" t="s">
        <v>3191</v>
      </c>
      <c r="F69" s="11" t="s">
        <v>1870</v>
      </c>
      <c r="G69" s="11" t="s">
        <v>60</v>
      </c>
      <c r="H69" s="11" t="s">
        <v>1871</v>
      </c>
      <c r="I69" s="11" t="s">
        <v>3216</v>
      </c>
      <c r="J69" s="11" t="s">
        <v>67</v>
      </c>
      <c r="K69" s="11" t="s">
        <v>3217</v>
      </c>
      <c r="L69" s="12" t="s">
        <v>25</v>
      </c>
      <c r="M69" s="11" t="s">
        <v>3193</v>
      </c>
      <c r="N69" s="11" t="s">
        <v>3194</v>
      </c>
      <c r="O69" s="11">
        <v>12</v>
      </c>
      <c r="P69" s="11">
        <v>100</v>
      </c>
      <c r="Q69" s="11" t="s">
        <v>67</v>
      </c>
      <c r="R69" s="11" t="s">
        <v>212</v>
      </c>
      <c r="S69" s="11" t="s">
        <v>3195</v>
      </c>
      <c r="T69" s="11" t="s">
        <v>1766</v>
      </c>
      <c r="U69" s="11" t="s">
        <v>3204</v>
      </c>
      <c r="V69" s="11" t="s">
        <v>2940</v>
      </c>
      <c r="W69" s="11" t="s">
        <v>3193</v>
      </c>
      <c r="X69" s="23" t="s">
        <v>67</v>
      </c>
      <c r="Y69" s="13" t="s">
        <v>67</v>
      </c>
    </row>
    <row r="70" spans="1:25" ht="33.950000000000003" customHeight="1">
      <c r="A70" s="11" t="s">
        <v>55</v>
      </c>
      <c r="B70" s="11" t="s">
        <v>17</v>
      </c>
      <c r="C70" s="11" t="s">
        <v>3218</v>
      </c>
      <c r="D70" s="11" t="s">
        <v>3219</v>
      </c>
      <c r="E70" s="11" t="s">
        <v>3191</v>
      </c>
      <c r="F70" s="11" t="s">
        <v>1870</v>
      </c>
      <c r="G70" s="11" t="s">
        <v>60</v>
      </c>
      <c r="H70" s="11" t="s">
        <v>1871</v>
      </c>
      <c r="I70" s="11" t="s">
        <v>3216</v>
      </c>
      <c r="J70" s="11" t="s">
        <v>67</v>
      </c>
      <c r="K70" s="11" t="s">
        <v>3217</v>
      </c>
      <c r="L70" s="12" t="s">
        <v>25</v>
      </c>
      <c r="M70" s="11" t="s">
        <v>3199</v>
      </c>
      <c r="N70" s="11" t="s">
        <v>3194</v>
      </c>
      <c r="O70" s="11">
        <v>12</v>
      </c>
      <c r="P70" s="11">
        <v>100</v>
      </c>
      <c r="Q70" s="11" t="s">
        <v>67</v>
      </c>
      <c r="R70" s="11" t="s">
        <v>212</v>
      </c>
      <c r="S70" s="11" t="s">
        <v>3195</v>
      </c>
      <c r="T70" s="11" t="s">
        <v>1766</v>
      </c>
      <c r="U70" s="11" t="s">
        <v>3207</v>
      </c>
      <c r="V70" s="11" t="s">
        <v>2940</v>
      </c>
      <c r="W70" s="11" t="s">
        <v>3199</v>
      </c>
      <c r="X70" s="23" t="s">
        <v>67</v>
      </c>
      <c r="Y70" s="13" t="s">
        <v>67</v>
      </c>
    </row>
    <row r="71" spans="1:25" ht="48" customHeight="1">
      <c r="A71" s="11" t="s">
        <v>55</v>
      </c>
      <c r="B71" s="11" t="s">
        <v>13</v>
      </c>
      <c r="C71" s="11" t="s">
        <v>3220</v>
      </c>
      <c r="D71" s="11" t="s">
        <v>3221</v>
      </c>
      <c r="E71" s="11" t="s">
        <v>3222</v>
      </c>
      <c r="F71" s="11" t="s">
        <v>59</v>
      </c>
      <c r="G71" s="11" t="s">
        <v>60</v>
      </c>
      <c r="H71" s="11" t="s">
        <v>61</v>
      </c>
      <c r="I71" s="11" t="s">
        <v>2973</v>
      </c>
      <c r="J71" s="11" t="s">
        <v>67</v>
      </c>
      <c r="K71" s="11" t="s">
        <v>3223</v>
      </c>
      <c r="L71" s="12" t="s">
        <v>25</v>
      </c>
      <c r="M71" s="11" t="s">
        <v>3224</v>
      </c>
      <c r="N71" s="11" t="s">
        <v>3089</v>
      </c>
      <c r="O71" s="11">
        <v>1</v>
      </c>
      <c r="P71" s="11" t="s">
        <v>3225</v>
      </c>
      <c r="Q71" s="11" t="s">
        <v>67</v>
      </c>
      <c r="R71" s="11" t="s">
        <v>212</v>
      </c>
      <c r="S71" s="11" t="s">
        <v>3226</v>
      </c>
      <c r="T71" s="11" t="s">
        <v>1766</v>
      </c>
      <c r="U71" s="11" t="s">
        <v>3227</v>
      </c>
      <c r="V71" s="11" t="s">
        <v>2940</v>
      </c>
      <c r="W71" s="11" t="s">
        <v>3224</v>
      </c>
      <c r="X71" s="23" t="s">
        <v>67</v>
      </c>
      <c r="Y71" s="13" t="s">
        <v>67</v>
      </c>
    </row>
    <row r="72" spans="1:25" ht="48" customHeight="1">
      <c r="A72" s="11" t="s">
        <v>55</v>
      </c>
      <c r="B72" s="11" t="s">
        <v>17</v>
      </c>
      <c r="C72" s="11" t="s">
        <v>3228</v>
      </c>
      <c r="D72" s="11" t="s">
        <v>3229</v>
      </c>
      <c r="E72" s="11" t="s">
        <v>3222</v>
      </c>
      <c r="F72" s="11" t="s">
        <v>59</v>
      </c>
      <c r="G72" s="11" t="s">
        <v>60</v>
      </c>
      <c r="H72" s="11" t="s">
        <v>61</v>
      </c>
      <c r="I72" s="11" t="s">
        <v>2973</v>
      </c>
      <c r="J72" s="11" t="s">
        <v>67</v>
      </c>
      <c r="K72" s="11" t="s">
        <v>3223</v>
      </c>
      <c r="L72" s="12" t="s">
        <v>25</v>
      </c>
      <c r="M72" s="11" t="s">
        <v>3230</v>
      </c>
      <c r="N72" s="11" t="s">
        <v>3089</v>
      </c>
      <c r="O72" s="11">
        <v>1</v>
      </c>
      <c r="P72" s="11" t="s">
        <v>3225</v>
      </c>
      <c r="Q72" s="11" t="s">
        <v>67</v>
      </c>
      <c r="R72" s="11" t="s">
        <v>212</v>
      </c>
      <c r="S72" s="11" t="s">
        <v>3226</v>
      </c>
      <c r="T72" s="11" t="s">
        <v>1766</v>
      </c>
      <c r="U72" s="11" t="s">
        <v>3231</v>
      </c>
      <c r="V72" s="11" t="s">
        <v>2940</v>
      </c>
      <c r="W72" s="11" t="s">
        <v>3230</v>
      </c>
      <c r="X72" s="23" t="s">
        <v>67</v>
      </c>
      <c r="Y72" s="13" t="s">
        <v>67</v>
      </c>
    </row>
    <row r="73" spans="1:25" ht="62.1" customHeight="1">
      <c r="A73" s="11" t="s">
        <v>55</v>
      </c>
      <c r="B73" s="11" t="s">
        <v>13</v>
      </c>
      <c r="C73" s="11" t="s">
        <v>3232</v>
      </c>
      <c r="D73" s="11" t="s">
        <v>3233</v>
      </c>
      <c r="E73" s="11" t="s">
        <v>3222</v>
      </c>
      <c r="F73" s="11" t="s">
        <v>59</v>
      </c>
      <c r="G73" s="11" t="s">
        <v>60</v>
      </c>
      <c r="H73" s="11" t="s">
        <v>194</v>
      </c>
      <c r="I73" s="11" t="s">
        <v>383</v>
      </c>
      <c r="J73" s="11" t="s">
        <v>67</v>
      </c>
      <c r="K73" s="11" t="s">
        <v>3234</v>
      </c>
      <c r="L73" s="12" t="s">
        <v>25</v>
      </c>
      <c r="M73" s="11" t="s">
        <v>3224</v>
      </c>
      <c r="N73" s="11" t="s">
        <v>3089</v>
      </c>
      <c r="O73" s="11">
        <v>1</v>
      </c>
      <c r="P73" s="11" t="s">
        <v>3225</v>
      </c>
      <c r="Q73" s="11" t="s">
        <v>67</v>
      </c>
      <c r="R73" s="11" t="s">
        <v>212</v>
      </c>
      <c r="S73" s="11" t="s">
        <v>3226</v>
      </c>
      <c r="T73" s="11" t="s">
        <v>1766</v>
      </c>
      <c r="U73" s="11" t="s">
        <v>3235</v>
      </c>
      <c r="V73" s="11" t="s">
        <v>2940</v>
      </c>
      <c r="W73" s="11" t="s">
        <v>3224</v>
      </c>
      <c r="X73" s="23" t="s">
        <v>67</v>
      </c>
      <c r="Y73" s="13" t="s">
        <v>67</v>
      </c>
    </row>
    <row r="74" spans="1:25" ht="62.1" customHeight="1">
      <c r="A74" s="11" t="s">
        <v>55</v>
      </c>
      <c r="B74" s="11" t="s">
        <v>13</v>
      </c>
      <c r="C74" s="11" t="s">
        <v>3236</v>
      </c>
      <c r="D74" s="11" t="s">
        <v>3237</v>
      </c>
      <c r="E74" s="11" t="s">
        <v>3222</v>
      </c>
      <c r="F74" s="11" t="s">
        <v>59</v>
      </c>
      <c r="G74" s="11" t="s">
        <v>60</v>
      </c>
      <c r="H74" s="11" t="s">
        <v>194</v>
      </c>
      <c r="I74" s="11" t="s">
        <v>3238</v>
      </c>
      <c r="J74" s="11" t="s">
        <v>67</v>
      </c>
      <c r="K74" s="11" t="s">
        <v>3234</v>
      </c>
      <c r="L74" s="12" t="s">
        <v>25</v>
      </c>
      <c r="M74" s="11" t="s">
        <v>3224</v>
      </c>
      <c r="N74" s="11" t="s">
        <v>3089</v>
      </c>
      <c r="O74" s="11">
        <v>1</v>
      </c>
      <c r="P74" s="11" t="s">
        <v>3239</v>
      </c>
      <c r="Q74" s="11" t="s">
        <v>67</v>
      </c>
      <c r="R74" s="11" t="s">
        <v>212</v>
      </c>
      <c r="S74" s="11" t="s">
        <v>3240</v>
      </c>
      <c r="T74" s="11" t="s">
        <v>1766</v>
      </c>
      <c r="U74" s="11" t="s">
        <v>3241</v>
      </c>
      <c r="V74" s="11" t="s">
        <v>2940</v>
      </c>
      <c r="W74" s="11" t="s">
        <v>3224</v>
      </c>
      <c r="X74" s="23" t="s">
        <v>67</v>
      </c>
      <c r="Y74" s="13" t="s">
        <v>67</v>
      </c>
    </row>
    <row r="75" spans="1:25" ht="62.1" customHeight="1">
      <c r="A75" s="11" t="s">
        <v>55</v>
      </c>
      <c r="B75" s="11" t="s">
        <v>13</v>
      </c>
      <c r="C75" s="11" t="s">
        <v>3242</v>
      </c>
      <c r="D75" s="11" t="s">
        <v>3243</v>
      </c>
      <c r="E75" s="11" t="s">
        <v>3222</v>
      </c>
      <c r="F75" s="11" t="s">
        <v>59</v>
      </c>
      <c r="G75" s="11" t="s">
        <v>60</v>
      </c>
      <c r="H75" s="11" t="s">
        <v>194</v>
      </c>
      <c r="I75" s="11" t="s">
        <v>3244</v>
      </c>
      <c r="J75" s="11" t="s">
        <v>67</v>
      </c>
      <c r="K75" s="11" t="s">
        <v>3234</v>
      </c>
      <c r="L75" s="12" t="s">
        <v>25</v>
      </c>
      <c r="M75" s="11" t="s">
        <v>3224</v>
      </c>
      <c r="N75" s="11" t="s">
        <v>3089</v>
      </c>
      <c r="O75" s="11">
        <v>1</v>
      </c>
      <c r="P75" s="11" t="s">
        <v>3245</v>
      </c>
      <c r="Q75" s="11" t="s">
        <v>67</v>
      </c>
      <c r="R75" s="11" t="s">
        <v>212</v>
      </c>
      <c r="S75" s="11" t="s">
        <v>3246</v>
      </c>
      <c r="T75" s="11" t="s">
        <v>1766</v>
      </c>
      <c r="U75" s="11" t="s">
        <v>3247</v>
      </c>
      <c r="V75" s="11" t="s">
        <v>2940</v>
      </c>
      <c r="W75" s="11" t="s">
        <v>3224</v>
      </c>
      <c r="X75" s="23" t="s">
        <v>67</v>
      </c>
      <c r="Y75" s="13" t="s">
        <v>67</v>
      </c>
    </row>
    <row r="76" spans="1:25" ht="62.1" customHeight="1">
      <c r="A76" s="11" t="s">
        <v>55</v>
      </c>
      <c r="B76" s="11" t="s">
        <v>17</v>
      </c>
      <c r="C76" s="11" t="s">
        <v>3248</v>
      </c>
      <c r="D76" s="11" t="s">
        <v>3249</v>
      </c>
      <c r="E76" s="11" t="s">
        <v>3222</v>
      </c>
      <c r="F76" s="11" t="s">
        <v>59</v>
      </c>
      <c r="G76" s="11" t="s">
        <v>60</v>
      </c>
      <c r="H76" s="11" t="s">
        <v>194</v>
      </c>
      <c r="I76" s="11" t="s">
        <v>383</v>
      </c>
      <c r="J76" s="11" t="s">
        <v>67</v>
      </c>
      <c r="K76" s="11" t="s">
        <v>3234</v>
      </c>
      <c r="L76" s="12" t="s">
        <v>25</v>
      </c>
      <c r="M76" s="11" t="s">
        <v>3230</v>
      </c>
      <c r="N76" s="11" t="s">
        <v>3089</v>
      </c>
      <c r="O76" s="11">
        <v>1</v>
      </c>
      <c r="P76" s="11" t="s">
        <v>3225</v>
      </c>
      <c r="Q76" s="11" t="s">
        <v>67</v>
      </c>
      <c r="R76" s="11" t="s">
        <v>212</v>
      </c>
      <c r="S76" s="11" t="s">
        <v>3226</v>
      </c>
      <c r="T76" s="11" t="s">
        <v>1766</v>
      </c>
      <c r="U76" s="11" t="s">
        <v>3250</v>
      </c>
      <c r="V76" s="11" t="s">
        <v>2940</v>
      </c>
      <c r="W76" s="11" t="s">
        <v>3230</v>
      </c>
      <c r="X76" s="23" t="s">
        <v>67</v>
      </c>
      <c r="Y76" s="13" t="s">
        <v>67</v>
      </c>
    </row>
    <row r="77" spans="1:25" ht="62.1" customHeight="1">
      <c r="A77" s="11" t="s">
        <v>55</v>
      </c>
      <c r="B77" s="11" t="s">
        <v>17</v>
      </c>
      <c r="C77" s="11" t="s">
        <v>3251</v>
      </c>
      <c r="D77" s="11" t="s">
        <v>3252</v>
      </c>
      <c r="E77" s="11" t="s">
        <v>3222</v>
      </c>
      <c r="F77" s="11" t="s">
        <v>59</v>
      </c>
      <c r="G77" s="11" t="s">
        <v>60</v>
      </c>
      <c r="H77" s="11" t="s">
        <v>194</v>
      </c>
      <c r="I77" s="11" t="s">
        <v>3238</v>
      </c>
      <c r="J77" s="11" t="s">
        <v>67</v>
      </c>
      <c r="K77" s="11" t="s">
        <v>3234</v>
      </c>
      <c r="L77" s="12" t="s">
        <v>25</v>
      </c>
      <c r="M77" s="11" t="s">
        <v>3230</v>
      </c>
      <c r="N77" s="11" t="s">
        <v>3089</v>
      </c>
      <c r="O77" s="11">
        <v>1</v>
      </c>
      <c r="P77" s="11" t="s">
        <v>3239</v>
      </c>
      <c r="Q77" s="11" t="s">
        <v>67</v>
      </c>
      <c r="R77" s="11" t="s">
        <v>212</v>
      </c>
      <c r="S77" s="11" t="s">
        <v>3240</v>
      </c>
      <c r="T77" s="11" t="s">
        <v>1766</v>
      </c>
      <c r="U77" s="11" t="s">
        <v>3253</v>
      </c>
      <c r="V77" s="11" t="s">
        <v>2940</v>
      </c>
      <c r="W77" s="11" t="s">
        <v>3230</v>
      </c>
      <c r="X77" s="23" t="s">
        <v>67</v>
      </c>
      <c r="Y77" s="13" t="s">
        <v>67</v>
      </c>
    </row>
    <row r="78" spans="1:25" ht="62.1" customHeight="1">
      <c r="A78" s="11" t="s">
        <v>55</v>
      </c>
      <c r="B78" s="11" t="s">
        <v>17</v>
      </c>
      <c r="C78" s="11" t="s">
        <v>3254</v>
      </c>
      <c r="D78" s="11" t="s">
        <v>3255</v>
      </c>
      <c r="E78" s="11" t="s">
        <v>3222</v>
      </c>
      <c r="F78" s="11" t="s">
        <v>59</v>
      </c>
      <c r="G78" s="11" t="s">
        <v>60</v>
      </c>
      <c r="H78" s="11" t="s">
        <v>194</v>
      </c>
      <c r="I78" s="11" t="s">
        <v>3244</v>
      </c>
      <c r="J78" s="11" t="s">
        <v>67</v>
      </c>
      <c r="K78" s="11" t="s">
        <v>3234</v>
      </c>
      <c r="L78" s="12" t="s">
        <v>25</v>
      </c>
      <c r="M78" s="11" t="s">
        <v>3230</v>
      </c>
      <c r="N78" s="11" t="s">
        <v>3089</v>
      </c>
      <c r="O78" s="11">
        <v>1</v>
      </c>
      <c r="P78" s="11" t="s">
        <v>3245</v>
      </c>
      <c r="Q78" s="11" t="s">
        <v>67</v>
      </c>
      <c r="R78" s="11" t="s">
        <v>212</v>
      </c>
      <c r="S78" s="11" t="s">
        <v>3246</v>
      </c>
      <c r="T78" s="11" t="s">
        <v>1766</v>
      </c>
      <c r="U78" s="11" t="s">
        <v>3256</v>
      </c>
      <c r="V78" s="11" t="s">
        <v>2940</v>
      </c>
      <c r="W78" s="11" t="s">
        <v>3230</v>
      </c>
      <c r="X78" s="23" t="s">
        <v>67</v>
      </c>
      <c r="Y78" s="13" t="s">
        <v>67</v>
      </c>
    </row>
    <row r="79" spans="1:25" ht="33.950000000000003" customHeight="1">
      <c r="A79" s="11" t="s">
        <v>55</v>
      </c>
      <c r="B79" s="11" t="s">
        <v>13</v>
      </c>
      <c r="C79" s="11" t="s">
        <v>3257</v>
      </c>
      <c r="D79" s="11" t="s">
        <v>3258</v>
      </c>
      <c r="E79" s="11" t="s">
        <v>3222</v>
      </c>
      <c r="F79" s="11" t="s">
        <v>59</v>
      </c>
      <c r="G79" s="11" t="s">
        <v>60</v>
      </c>
      <c r="H79" s="11" t="s">
        <v>200</v>
      </c>
      <c r="I79" s="11" t="s">
        <v>400</v>
      </c>
      <c r="J79" s="11" t="s">
        <v>67</v>
      </c>
      <c r="K79" s="11" t="s">
        <v>3259</v>
      </c>
      <c r="L79" s="12" t="s">
        <v>25</v>
      </c>
      <c r="M79" s="11" t="s">
        <v>3224</v>
      </c>
      <c r="N79" s="11" t="s">
        <v>3089</v>
      </c>
      <c r="O79" s="11">
        <v>1</v>
      </c>
      <c r="P79" s="11" t="s">
        <v>3225</v>
      </c>
      <c r="Q79" s="11" t="s">
        <v>67</v>
      </c>
      <c r="R79" s="11" t="s">
        <v>212</v>
      </c>
      <c r="S79" s="11" t="s">
        <v>3226</v>
      </c>
      <c r="T79" s="11" t="s">
        <v>1766</v>
      </c>
      <c r="U79" s="11" t="s">
        <v>3235</v>
      </c>
      <c r="V79" s="11" t="s">
        <v>2940</v>
      </c>
      <c r="W79" s="11" t="s">
        <v>3224</v>
      </c>
      <c r="X79" s="23" t="s">
        <v>67</v>
      </c>
      <c r="Y79" s="13" t="s">
        <v>67</v>
      </c>
    </row>
    <row r="80" spans="1:25" ht="33.950000000000003" customHeight="1">
      <c r="A80" s="11" t="s">
        <v>55</v>
      </c>
      <c r="B80" s="11" t="s">
        <v>17</v>
      </c>
      <c r="C80" s="11" t="s">
        <v>3260</v>
      </c>
      <c r="D80" s="11" t="s">
        <v>3261</v>
      </c>
      <c r="E80" s="11" t="s">
        <v>3222</v>
      </c>
      <c r="F80" s="11" t="s">
        <v>59</v>
      </c>
      <c r="G80" s="11" t="s">
        <v>60</v>
      </c>
      <c r="H80" s="11" t="s">
        <v>200</v>
      </c>
      <c r="I80" s="11" t="s">
        <v>400</v>
      </c>
      <c r="J80" s="11" t="s">
        <v>67</v>
      </c>
      <c r="K80" s="11" t="s">
        <v>3259</v>
      </c>
      <c r="L80" s="12" t="s">
        <v>25</v>
      </c>
      <c r="M80" s="11" t="s">
        <v>3230</v>
      </c>
      <c r="N80" s="11" t="s">
        <v>3089</v>
      </c>
      <c r="O80" s="11">
        <v>1</v>
      </c>
      <c r="P80" s="11" t="s">
        <v>3225</v>
      </c>
      <c r="Q80" s="11" t="s">
        <v>67</v>
      </c>
      <c r="R80" s="11" t="s">
        <v>212</v>
      </c>
      <c r="S80" s="11" t="s">
        <v>3226</v>
      </c>
      <c r="T80" s="11" t="s">
        <v>1766</v>
      </c>
      <c r="U80" s="11" t="s">
        <v>3250</v>
      </c>
      <c r="V80" s="11" t="s">
        <v>2940</v>
      </c>
      <c r="W80" s="11" t="s">
        <v>3230</v>
      </c>
      <c r="X80" s="23" t="s">
        <v>67</v>
      </c>
      <c r="Y80" s="13" t="s">
        <v>67</v>
      </c>
    </row>
    <row r="81" spans="1:25" ht="75.95" customHeight="1">
      <c r="A81" s="11" t="s">
        <v>55</v>
      </c>
      <c r="B81" s="11" t="s">
        <v>13</v>
      </c>
      <c r="C81" s="11" t="s">
        <v>3262</v>
      </c>
      <c r="D81" s="11" t="s">
        <v>3263</v>
      </c>
      <c r="E81" s="11" t="s">
        <v>3222</v>
      </c>
      <c r="F81" s="11" t="s">
        <v>59</v>
      </c>
      <c r="G81" s="11" t="s">
        <v>60</v>
      </c>
      <c r="H81" s="11" t="s">
        <v>234</v>
      </c>
      <c r="I81" s="11" t="s">
        <v>235</v>
      </c>
      <c r="J81" s="11" t="s">
        <v>67</v>
      </c>
      <c r="K81" s="11" t="s">
        <v>3264</v>
      </c>
      <c r="L81" s="12" t="s">
        <v>25</v>
      </c>
      <c r="M81" s="11" t="s">
        <v>3224</v>
      </c>
      <c r="N81" s="11" t="s">
        <v>3089</v>
      </c>
      <c r="O81" s="11">
        <v>1</v>
      </c>
      <c r="P81" s="11" t="s">
        <v>3225</v>
      </c>
      <c r="Q81" s="11" t="s">
        <v>67</v>
      </c>
      <c r="R81" s="11" t="s">
        <v>212</v>
      </c>
      <c r="S81" s="11" t="s">
        <v>3226</v>
      </c>
      <c r="T81" s="11" t="s">
        <v>1766</v>
      </c>
      <c r="U81" s="11" t="s">
        <v>3235</v>
      </c>
      <c r="V81" s="11" t="s">
        <v>2940</v>
      </c>
      <c r="W81" s="11" t="s">
        <v>3224</v>
      </c>
      <c r="X81" s="23" t="s">
        <v>67</v>
      </c>
      <c r="Y81" s="13" t="s">
        <v>67</v>
      </c>
    </row>
    <row r="82" spans="1:25" ht="75.95" customHeight="1">
      <c r="A82" s="11" t="s">
        <v>55</v>
      </c>
      <c r="B82" s="11" t="s">
        <v>17</v>
      </c>
      <c r="C82" s="11" t="s">
        <v>3265</v>
      </c>
      <c r="D82" s="11" t="s">
        <v>3266</v>
      </c>
      <c r="E82" s="11" t="s">
        <v>3222</v>
      </c>
      <c r="F82" s="11" t="s">
        <v>59</v>
      </c>
      <c r="G82" s="11" t="s">
        <v>60</v>
      </c>
      <c r="H82" s="11" t="s">
        <v>234</v>
      </c>
      <c r="I82" s="11" t="s">
        <v>235</v>
      </c>
      <c r="J82" s="11" t="s">
        <v>67</v>
      </c>
      <c r="K82" s="11" t="s">
        <v>3264</v>
      </c>
      <c r="L82" s="12" t="s">
        <v>25</v>
      </c>
      <c r="M82" s="11" t="s">
        <v>3230</v>
      </c>
      <c r="N82" s="11" t="s">
        <v>3089</v>
      </c>
      <c r="O82" s="11">
        <v>1</v>
      </c>
      <c r="P82" s="11" t="s">
        <v>3225</v>
      </c>
      <c r="Q82" s="11" t="s">
        <v>67</v>
      </c>
      <c r="R82" s="11" t="s">
        <v>212</v>
      </c>
      <c r="S82" s="11" t="s">
        <v>3226</v>
      </c>
      <c r="T82" s="11" t="s">
        <v>1766</v>
      </c>
      <c r="U82" s="11" t="s">
        <v>3250</v>
      </c>
      <c r="V82" s="11" t="s">
        <v>2940</v>
      </c>
      <c r="W82" s="11" t="s">
        <v>3230</v>
      </c>
      <c r="X82" s="23" t="s">
        <v>67</v>
      </c>
      <c r="Y82" s="13" t="s">
        <v>67</v>
      </c>
    </row>
    <row r="83" spans="1:25" ht="33.950000000000003" customHeight="1">
      <c r="A83" s="11" t="s">
        <v>55</v>
      </c>
      <c r="B83" s="11" t="s">
        <v>13</v>
      </c>
      <c r="C83" s="11" t="s">
        <v>3267</v>
      </c>
      <c r="D83" s="11" t="s">
        <v>3268</v>
      </c>
      <c r="E83" s="11" t="s">
        <v>3222</v>
      </c>
      <c r="F83" s="11" t="s">
        <v>1870</v>
      </c>
      <c r="G83" s="11" t="s">
        <v>60</v>
      </c>
      <c r="H83" s="11" t="s">
        <v>1871</v>
      </c>
      <c r="I83" s="11" t="s">
        <v>3269</v>
      </c>
      <c r="J83" s="11" t="s">
        <v>67</v>
      </c>
      <c r="K83" s="11" t="s">
        <v>3270</v>
      </c>
      <c r="L83" s="12" t="s">
        <v>25</v>
      </c>
      <c r="M83" s="11" t="s">
        <v>3224</v>
      </c>
      <c r="N83" s="11" t="s">
        <v>3089</v>
      </c>
      <c r="O83" s="11">
        <v>1</v>
      </c>
      <c r="P83" s="11" t="s">
        <v>3225</v>
      </c>
      <c r="Q83" s="11" t="s">
        <v>67</v>
      </c>
      <c r="R83" s="11" t="s">
        <v>212</v>
      </c>
      <c r="S83" s="11" t="s">
        <v>3226</v>
      </c>
      <c r="T83" s="11" t="s">
        <v>1766</v>
      </c>
      <c r="U83" s="11" t="s">
        <v>3235</v>
      </c>
      <c r="V83" s="11" t="s">
        <v>2940</v>
      </c>
      <c r="W83" s="11" t="s">
        <v>3224</v>
      </c>
      <c r="X83" s="23" t="s">
        <v>67</v>
      </c>
      <c r="Y83" s="13" t="s">
        <v>67</v>
      </c>
    </row>
    <row r="84" spans="1:25" ht="33.950000000000003" customHeight="1">
      <c r="A84" s="11" t="s">
        <v>55</v>
      </c>
      <c r="B84" s="11" t="s">
        <v>17</v>
      </c>
      <c r="C84" s="11" t="s">
        <v>3271</v>
      </c>
      <c r="D84" s="11" t="s">
        <v>3272</v>
      </c>
      <c r="E84" s="11" t="s">
        <v>3222</v>
      </c>
      <c r="F84" s="11" t="s">
        <v>1870</v>
      </c>
      <c r="G84" s="11" t="s">
        <v>60</v>
      </c>
      <c r="H84" s="11" t="s">
        <v>1871</v>
      </c>
      <c r="I84" s="11" t="s">
        <v>3269</v>
      </c>
      <c r="J84" s="11" t="s">
        <v>67</v>
      </c>
      <c r="K84" s="11" t="s">
        <v>3270</v>
      </c>
      <c r="L84" s="12" t="s">
        <v>25</v>
      </c>
      <c r="M84" s="11" t="s">
        <v>3230</v>
      </c>
      <c r="N84" s="11" t="s">
        <v>3089</v>
      </c>
      <c r="O84" s="11">
        <v>1</v>
      </c>
      <c r="P84" s="11" t="s">
        <v>3225</v>
      </c>
      <c r="Q84" s="11" t="s">
        <v>67</v>
      </c>
      <c r="R84" s="11" t="s">
        <v>212</v>
      </c>
      <c r="S84" s="11" t="s">
        <v>3226</v>
      </c>
      <c r="T84" s="11" t="s">
        <v>1766</v>
      </c>
      <c r="U84" s="11" t="s">
        <v>3250</v>
      </c>
      <c r="V84" s="11" t="s">
        <v>2940</v>
      </c>
      <c r="W84" s="11" t="s">
        <v>3230</v>
      </c>
      <c r="X84" s="23" t="s">
        <v>67</v>
      </c>
      <c r="Y84" s="13" t="s">
        <v>67</v>
      </c>
    </row>
    <row r="85" spans="1:25" ht="75.95" customHeight="1">
      <c r="A85" s="11" t="s">
        <v>55</v>
      </c>
      <c r="B85" s="11" t="s">
        <v>17</v>
      </c>
      <c r="C85" s="11" t="s">
        <v>3273</v>
      </c>
      <c r="D85" s="11" t="s">
        <v>3274</v>
      </c>
      <c r="E85" s="11" t="s">
        <v>67</v>
      </c>
      <c r="F85" s="11" t="s">
        <v>59</v>
      </c>
      <c r="G85" s="11" t="s">
        <v>979</v>
      </c>
      <c r="H85" s="11" t="s">
        <v>61</v>
      </c>
      <c r="I85" s="11" t="s">
        <v>3275</v>
      </c>
      <c r="J85" s="11" t="s">
        <v>67</v>
      </c>
      <c r="K85" s="11" t="s">
        <v>3276</v>
      </c>
      <c r="L85" s="12" t="s">
        <v>25</v>
      </c>
      <c r="M85" s="11" t="s">
        <v>3277</v>
      </c>
      <c r="N85" s="11" t="s">
        <v>67</v>
      </c>
      <c r="O85" s="11" t="s">
        <v>67</v>
      </c>
      <c r="P85" s="11" t="s">
        <v>67</v>
      </c>
      <c r="Q85" s="11" t="s">
        <v>67</v>
      </c>
      <c r="R85" s="11" t="s">
        <v>70</v>
      </c>
      <c r="S85" s="11" t="s">
        <v>3278</v>
      </c>
      <c r="T85" s="11" t="s">
        <v>3279</v>
      </c>
      <c r="U85" s="11" t="s">
        <v>3280</v>
      </c>
      <c r="V85" s="11" t="s">
        <v>3281</v>
      </c>
      <c r="W85" s="11" t="s">
        <v>3282</v>
      </c>
      <c r="X85" s="23" t="s">
        <v>67</v>
      </c>
      <c r="Y85" s="13" t="s">
        <v>67</v>
      </c>
    </row>
    <row r="86" spans="1:25" ht="48" customHeight="1">
      <c r="A86" s="11" t="s">
        <v>55</v>
      </c>
      <c r="B86" s="11" t="s">
        <v>15</v>
      </c>
      <c r="C86" s="11" t="s">
        <v>3283</v>
      </c>
      <c r="D86" s="11" t="s">
        <v>3284</v>
      </c>
      <c r="E86" s="11" t="s">
        <v>67</v>
      </c>
      <c r="F86" s="11" t="s">
        <v>59</v>
      </c>
      <c r="G86" s="11" t="s">
        <v>979</v>
      </c>
      <c r="H86" s="11" t="s">
        <v>61</v>
      </c>
      <c r="I86" s="11" t="s">
        <v>3285</v>
      </c>
      <c r="J86" s="11" t="s">
        <v>67</v>
      </c>
      <c r="K86" s="11" t="s">
        <v>3276</v>
      </c>
      <c r="L86" s="12" t="s">
        <v>25</v>
      </c>
      <c r="M86" s="11" t="s">
        <v>3282</v>
      </c>
      <c r="N86" s="11" t="s">
        <v>67</v>
      </c>
      <c r="O86" s="11" t="s">
        <v>67</v>
      </c>
      <c r="P86" s="11" t="s">
        <v>67</v>
      </c>
      <c r="Q86" s="11" t="s">
        <v>67</v>
      </c>
      <c r="R86" s="11" t="s">
        <v>212</v>
      </c>
      <c r="S86" s="11" t="s">
        <v>3286</v>
      </c>
      <c r="T86" s="11" t="s">
        <v>1766</v>
      </c>
      <c r="U86" s="11" t="s">
        <v>3287</v>
      </c>
      <c r="V86" s="11" t="s">
        <v>3281</v>
      </c>
      <c r="W86" s="11" t="s">
        <v>3282</v>
      </c>
      <c r="X86" s="23" t="s">
        <v>67</v>
      </c>
      <c r="Y86" s="13" t="s">
        <v>67</v>
      </c>
    </row>
    <row r="87" spans="1:25" ht="48" customHeight="1">
      <c r="A87" s="11" t="s">
        <v>55</v>
      </c>
      <c r="B87" s="11" t="s">
        <v>15</v>
      </c>
      <c r="C87" s="11" t="s">
        <v>3288</v>
      </c>
      <c r="D87" s="11" t="s">
        <v>3289</v>
      </c>
      <c r="E87" s="11" t="s">
        <v>67</v>
      </c>
      <c r="F87" s="11" t="s">
        <v>59</v>
      </c>
      <c r="G87" s="11" t="s">
        <v>979</v>
      </c>
      <c r="H87" s="11" t="s">
        <v>61</v>
      </c>
      <c r="I87" s="11" t="s">
        <v>3290</v>
      </c>
      <c r="J87" s="11" t="s">
        <v>67</v>
      </c>
      <c r="K87" s="11" t="s">
        <v>3276</v>
      </c>
      <c r="L87" s="12" t="s">
        <v>25</v>
      </c>
      <c r="M87" s="11" t="s">
        <v>3282</v>
      </c>
      <c r="N87" s="11" t="s">
        <v>67</v>
      </c>
      <c r="O87" s="11" t="s">
        <v>67</v>
      </c>
      <c r="P87" s="11" t="s">
        <v>67</v>
      </c>
      <c r="Q87" s="11" t="s">
        <v>67</v>
      </c>
      <c r="R87" s="11" t="s">
        <v>212</v>
      </c>
      <c r="S87" s="11" t="s">
        <v>3286</v>
      </c>
      <c r="T87" s="11" t="s">
        <v>1766</v>
      </c>
      <c r="U87" s="11" t="s">
        <v>3287</v>
      </c>
      <c r="V87" s="11" t="s">
        <v>3281</v>
      </c>
      <c r="W87" s="11" t="s">
        <v>3282</v>
      </c>
      <c r="X87" s="23" t="s">
        <v>67</v>
      </c>
      <c r="Y87" s="13" t="s">
        <v>67</v>
      </c>
    </row>
    <row r="88" spans="1:25" ht="75.95" customHeight="1">
      <c r="A88" s="11" t="s">
        <v>55</v>
      </c>
      <c r="B88" s="11" t="s">
        <v>15</v>
      </c>
      <c r="C88" s="11" t="s">
        <v>3291</v>
      </c>
      <c r="D88" s="11" t="s">
        <v>3292</v>
      </c>
      <c r="E88" s="11" t="s">
        <v>67</v>
      </c>
      <c r="F88" s="11" t="s">
        <v>59</v>
      </c>
      <c r="G88" s="11" t="s">
        <v>979</v>
      </c>
      <c r="H88" s="11" t="s">
        <v>61</v>
      </c>
      <c r="I88" s="11" t="s">
        <v>3293</v>
      </c>
      <c r="J88" s="11" t="s">
        <v>67</v>
      </c>
      <c r="K88" s="11" t="s">
        <v>3276</v>
      </c>
      <c r="L88" s="12" t="s">
        <v>25</v>
      </c>
      <c r="M88" s="11" t="s">
        <v>3282</v>
      </c>
      <c r="N88" s="11" t="s">
        <v>67</v>
      </c>
      <c r="O88" s="11" t="s">
        <v>67</v>
      </c>
      <c r="P88" s="11" t="s">
        <v>67</v>
      </c>
      <c r="Q88" s="11" t="s">
        <v>67</v>
      </c>
      <c r="R88" s="11" t="s">
        <v>1873</v>
      </c>
      <c r="S88" s="11" t="s">
        <v>3294</v>
      </c>
      <c r="T88" s="11" t="s">
        <v>1789</v>
      </c>
      <c r="U88" s="11" t="s">
        <v>3295</v>
      </c>
      <c r="V88" s="11" t="s">
        <v>3281</v>
      </c>
      <c r="W88" s="11" t="s">
        <v>3282</v>
      </c>
      <c r="X88" s="23" t="s">
        <v>3296</v>
      </c>
      <c r="Y88" s="13" t="s">
        <v>3297</v>
      </c>
    </row>
    <row r="89" spans="1:25" ht="104.1" customHeight="1">
      <c r="A89" s="11" t="s">
        <v>55</v>
      </c>
      <c r="B89" s="11" t="s">
        <v>15</v>
      </c>
      <c r="C89" s="11" t="s">
        <v>3298</v>
      </c>
      <c r="D89" s="11" t="s">
        <v>3299</v>
      </c>
      <c r="E89" s="11" t="s">
        <v>67</v>
      </c>
      <c r="F89" s="11" t="s">
        <v>59</v>
      </c>
      <c r="G89" s="11" t="s">
        <v>979</v>
      </c>
      <c r="H89" s="11" t="s">
        <v>234</v>
      </c>
      <c r="I89" s="11" t="s">
        <v>3300</v>
      </c>
      <c r="J89" s="11" t="s">
        <v>67</v>
      </c>
      <c r="K89" s="11" t="s">
        <v>3301</v>
      </c>
      <c r="L89" s="12" t="s">
        <v>25</v>
      </c>
      <c r="M89" s="11" t="s">
        <v>3282</v>
      </c>
      <c r="N89" s="11" t="s">
        <v>67</v>
      </c>
      <c r="O89" s="11" t="s">
        <v>67</v>
      </c>
      <c r="P89" s="11" t="s">
        <v>67</v>
      </c>
      <c r="Q89" s="11" t="s">
        <v>67</v>
      </c>
      <c r="R89" s="11" t="s">
        <v>1810</v>
      </c>
      <c r="S89" s="11" t="s">
        <v>3302</v>
      </c>
      <c r="T89" s="11" t="s">
        <v>1789</v>
      </c>
      <c r="U89" s="11" t="s">
        <v>3303</v>
      </c>
      <c r="V89" s="11" t="s">
        <v>3281</v>
      </c>
      <c r="W89" s="11" t="s">
        <v>3282</v>
      </c>
      <c r="X89" s="23" t="s">
        <v>3304</v>
      </c>
      <c r="Y89" s="13" t="s">
        <v>3305</v>
      </c>
    </row>
    <row r="90" spans="1:25" ht="75.95" customHeight="1">
      <c r="A90" s="11" t="s">
        <v>55</v>
      </c>
      <c r="B90" s="11" t="s">
        <v>13</v>
      </c>
      <c r="C90" s="11" t="s">
        <v>3306</v>
      </c>
      <c r="D90" s="11" t="s">
        <v>3307</v>
      </c>
      <c r="E90" s="11" t="s">
        <v>67</v>
      </c>
      <c r="F90" s="11" t="s">
        <v>996</v>
      </c>
      <c r="G90" s="11" t="s">
        <v>979</v>
      </c>
      <c r="H90" s="11" t="s">
        <v>996</v>
      </c>
      <c r="I90" s="11" t="s">
        <v>3308</v>
      </c>
      <c r="J90" s="11" t="s">
        <v>67</v>
      </c>
      <c r="K90" s="11" t="s">
        <v>3301</v>
      </c>
      <c r="L90" s="12" t="s">
        <v>25</v>
      </c>
      <c r="M90" s="11" t="s">
        <v>3282</v>
      </c>
      <c r="N90" s="11" t="s">
        <v>67</v>
      </c>
      <c r="O90" s="11" t="s">
        <v>67</v>
      </c>
      <c r="P90" s="11" t="s">
        <v>67</v>
      </c>
      <c r="Q90" s="11" t="s">
        <v>67</v>
      </c>
      <c r="R90" s="11" t="s">
        <v>70</v>
      </c>
      <c r="S90" s="11" t="s">
        <v>3309</v>
      </c>
      <c r="T90" s="11" t="s">
        <v>3279</v>
      </c>
      <c r="U90" s="11" t="s">
        <v>3280</v>
      </c>
      <c r="V90" s="11" t="s">
        <v>3281</v>
      </c>
      <c r="W90" s="11" t="s">
        <v>3282</v>
      </c>
      <c r="X90" s="23" t="s">
        <v>67</v>
      </c>
      <c r="Y90" s="13" t="s">
        <v>67</v>
      </c>
    </row>
    <row r="91" spans="1:25" ht="75.95" customHeight="1">
      <c r="A91" s="11" t="s">
        <v>55</v>
      </c>
      <c r="B91" s="11" t="s">
        <v>13</v>
      </c>
      <c r="C91" s="11" t="s">
        <v>3310</v>
      </c>
      <c r="D91" s="11" t="s">
        <v>3311</v>
      </c>
      <c r="E91" s="11" t="s">
        <v>67</v>
      </c>
      <c r="F91" s="11" t="s">
        <v>996</v>
      </c>
      <c r="G91" s="11" t="s">
        <v>979</v>
      </c>
      <c r="H91" s="11" t="s">
        <v>996</v>
      </c>
      <c r="I91" s="11" t="s">
        <v>3312</v>
      </c>
      <c r="J91" s="11" t="s">
        <v>67</v>
      </c>
      <c r="K91" s="11" t="s">
        <v>3301</v>
      </c>
      <c r="L91" s="12" t="s">
        <v>25</v>
      </c>
      <c r="M91" s="11" t="s">
        <v>3282</v>
      </c>
      <c r="N91" s="11" t="s">
        <v>67</v>
      </c>
      <c r="O91" s="11" t="s">
        <v>67</v>
      </c>
      <c r="P91" s="11" t="s">
        <v>67</v>
      </c>
      <c r="Q91" s="11" t="s">
        <v>67</v>
      </c>
      <c r="R91" s="11" t="s">
        <v>70</v>
      </c>
      <c r="S91" s="11" t="s">
        <v>3313</v>
      </c>
      <c r="T91" s="11" t="s">
        <v>3279</v>
      </c>
      <c r="U91" s="11" t="s">
        <v>3280</v>
      </c>
      <c r="V91" s="11" t="s">
        <v>3281</v>
      </c>
      <c r="W91" s="11" t="s">
        <v>3282</v>
      </c>
      <c r="X91" s="23" t="s">
        <v>67</v>
      </c>
      <c r="Y91" s="13" t="s">
        <v>67</v>
      </c>
    </row>
    <row r="92" spans="1:25" ht="75.95" customHeight="1">
      <c r="A92" s="11" t="s">
        <v>55</v>
      </c>
      <c r="B92" s="11" t="s">
        <v>13</v>
      </c>
      <c r="C92" s="11" t="s">
        <v>3314</v>
      </c>
      <c r="D92" s="11" t="s">
        <v>3315</v>
      </c>
      <c r="E92" s="11" t="s">
        <v>67</v>
      </c>
      <c r="F92" s="11" t="s">
        <v>996</v>
      </c>
      <c r="G92" s="11" t="s">
        <v>979</v>
      </c>
      <c r="H92" s="11" t="s">
        <v>996</v>
      </c>
      <c r="I92" s="11" t="s">
        <v>3316</v>
      </c>
      <c r="J92" s="11" t="s">
        <v>67</v>
      </c>
      <c r="K92" s="11" t="s">
        <v>3301</v>
      </c>
      <c r="L92" s="12" t="s">
        <v>25</v>
      </c>
      <c r="M92" s="11" t="s">
        <v>3282</v>
      </c>
      <c r="N92" s="11" t="s">
        <v>67</v>
      </c>
      <c r="O92" s="11" t="s">
        <v>67</v>
      </c>
      <c r="P92" s="11" t="s">
        <v>67</v>
      </c>
      <c r="Q92" s="11" t="s">
        <v>67</v>
      </c>
      <c r="R92" s="11" t="s">
        <v>70</v>
      </c>
      <c r="S92" s="11" t="s">
        <v>3317</v>
      </c>
      <c r="T92" s="11" t="s">
        <v>3279</v>
      </c>
      <c r="U92" s="11" t="s">
        <v>3280</v>
      </c>
      <c r="V92" s="11" t="s">
        <v>3281</v>
      </c>
      <c r="W92" s="11" t="s">
        <v>3282</v>
      </c>
      <c r="X92" s="23" t="s">
        <v>67</v>
      </c>
      <c r="Y92" s="13" t="s">
        <v>67</v>
      </c>
    </row>
    <row r="93" spans="1:25" ht="75.95" customHeight="1">
      <c r="A93" s="11" t="s">
        <v>55</v>
      </c>
      <c r="B93" s="11" t="s">
        <v>13</v>
      </c>
      <c r="C93" s="11" t="s">
        <v>3318</v>
      </c>
      <c r="D93" s="11" t="s">
        <v>3319</v>
      </c>
      <c r="E93" s="11" t="s">
        <v>67</v>
      </c>
      <c r="F93" s="11" t="s">
        <v>996</v>
      </c>
      <c r="G93" s="11" t="s">
        <v>979</v>
      </c>
      <c r="H93" s="11" t="s">
        <v>996</v>
      </c>
      <c r="I93" s="11" t="s">
        <v>3320</v>
      </c>
      <c r="J93" s="11" t="s">
        <v>67</v>
      </c>
      <c r="K93" s="11" t="s">
        <v>3301</v>
      </c>
      <c r="L93" s="12" t="s">
        <v>25</v>
      </c>
      <c r="M93" s="11" t="s">
        <v>3282</v>
      </c>
      <c r="N93" s="11" t="s">
        <v>67</v>
      </c>
      <c r="O93" s="11" t="s">
        <v>67</v>
      </c>
      <c r="P93" s="11" t="s">
        <v>67</v>
      </c>
      <c r="Q93" s="11" t="s">
        <v>67</v>
      </c>
      <c r="R93" s="11" t="s">
        <v>70</v>
      </c>
      <c r="S93" s="11" t="s">
        <v>3321</v>
      </c>
      <c r="T93" s="11" t="s">
        <v>3279</v>
      </c>
      <c r="U93" s="11" t="s">
        <v>3280</v>
      </c>
      <c r="V93" s="11" t="s">
        <v>3281</v>
      </c>
      <c r="W93" s="11" t="s">
        <v>3282</v>
      </c>
      <c r="X93" s="23" t="s">
        <v>67</v>
      </c>
      <c r="Y93" s="13" t="s">
        <v>67</v>
      </c>
    </row>
    <row r="94" spans="1:25" ht="75.95" customHeight="1">
      <c r="A94" s="11" t="s">
        <v>55</v>
      </c>
      <c r="B94" s="11" t="s">
        <v>15</v>
      </c>
      <c r="C94" s="11" t="s">
        <v>3322</v>
      </c>
      <c r="D94" s="11" t="s">
        <v>3323</v>
      </c>
      <c r="E94" s="11" t="s">
        <v>67</v>
      </c>
      <c r="F94" s="11" t="s">
        <v>996</v>
      </c>
      <c r="G94" s="11" t="s">
        <v>979</v>
      </c>
      <c r="H94" s="11" t="s">
        <v>996</v>
      </c>
      <c r="I94" s="11" t="s">
        <v>3324</v>
      </c>
      <c r="J94" s="11" t="s">
        <v>67</v>
      </c>
      <c r="K94" s="11" t="s">
        <v>3301</v>
      </c>
      <c r="L94" s="12" t="s">
        <v>25</v>
      </c>
      <c r="M94" s="11" t="s">
        <v>3282</v>
      </c>
      <c r="N94" s="11" t="s">
        <v>67</v>
      </c>
      <c r="O94" s="11" t="s">
        <v>67</v>
      </c>
      <c r="P94" s="11" t="s">
        <v>67</v>
      </c>
      <c r="Q94" s="11" t="s">
        <v>67</v>
      </c>
      <c r="R94" s="11" t="s">
        <v>70</v>
      </c>
      <c r="S94" s="11" t="s">
        <v>3325</v>
      </c>
      <c r="T94" s="11" t="s">
        <v>3279</v>
      </c>
      <c r="U94" s="11" t="s">
        <v>3280</v>
      </c>
      <c r="V94" s="11" t="s">
        <v>3281</v>
      </c>
      <c r="W94" s="11" t="s">
        <v>3282</v>
      </c>
      <c r="X94" s="23" t="s">
        <v>67</v>
      </c>
      <c r="Y94" s="13" t="s">
        <v>67</v>
      </c>
    </row>
    <row r="95" spans="1:25" ht="75.95" customHeight="1">
      <c r="A95" s="11" t="s">
        <v>55</v>
      </c>
      <c r="B95" s="11" t="s">
        <v>15</v>
      </c>
      <c r="C95" s="11" t="s">
        <v>3326</v>
      </c>
      <c r="D95" s="11" t="s">
        <v>3327</v>
      </c>
      <c r="E95" s="11" t="s">
        <v>67</v>
      </c>
      <c r="F95" s="11" t="s">
        <v>996</v>
      </c>
      <c r="G95" s="11" t="s">
        <v>979</v>
      </c>
      <c r="H95" s="11" t="s">
        <v>996</v>
      </c>
      <c r="I95" s="11" t="s">
        <v>3328</v>
      </c>
      <c r="J95" s="11" t="s">
        <v>67</v>
      </c>
      <c r="K95" s="11" t="s">
        <v>3301</v>
      </c>
      <c r="L95" s="12" t="s">
        <v>25</v>
      </c>
      <c r="M95" s="11" t="s">
        <v>3282</v>
      </c>
      <c r="N95" s="11" t="s">
        <v>67</v>
      </c>
      <c r="O95" s="11" t="s">
        <v>67</v>
      </c>
      <c r="P95" s="11" t="s">
        <v>67</v>
      </c>
      <c r="Q95" s="11" t="s">
        <v>67</v>
      </c>
      <c r="R95" s="11" t="s">
        <v>70</v>
      </c>
      <c r="S95" s="11" t="s">
        <v>3329</v>
      </c>
      <c r="T95" s="11" t="s">
        <v>3279</v>
      </c>
      <c r="U95" s="11" t="s">
        <v>3280</v>
      </c>
      <c r="V95" s="11" t="s">
        <v>3281</v>
      </c>
      <c r="W95" s="11" t="s">
        <v>3282</v>
      </c>
      <c r="X95" s="23" t="s">
        <v>67</v>
      </c>
      <c r="Y95" s="13" t="s">
        <v>67</v>
      </c>
    </row>
    <row r="96" spans="1:25" ht="75.95" customHeight="1">
      <c r="A96" s="11" t="s">
        <v>55</v>
      </c>
      <c r="B96" s="11" t="s">
        <v>17</v>
      </c>
      <c r="C96" s="11" t="s">
        <v>3330</v>
      </c>
      <c r="D96" s="11" t="s">
        <v>3331</v>
      </c>
      <c r="E96" s="11" t="s">
        <v>67</v>
      </c>
      <c r="F96" s="11" t="s">
        <v>996</v>
      </c>
      <c r="G96" s="11" t="s">
        <v>979</v>
      </c>
      <c r="H96" s="11" t="s">
        <v>996</v>
      </c>
      <c r="I96" s="11" t="s">
        <v>3332</v>
      </c>
      <c r="J96" s="11" t="s">
        <v>67</v>
      </c>
      <c r="K96" s="11" t="s">
        <v>3301</v>
      </c>
      <c r="L96" s="12" t="s">
        <v>25</v>
      </c>
      <c r="M96" s="11" t="s">
        <v>3277</v>
      </c>
      <c r="N96" s="11" t="s">
        <v>67</v>
      </c>
      <c r="O96" s="11" t="s">
        <v>67</v>
      </c>
      <c r="P96" s="11" t="s">
        <v>67</v>
      </c>
      <c r="Q96" s="11" t="s">
        <v>67</v>
      </c>
      <c r="R96" s="11" t="s">
        <v>70</v>
      </c>
      <c r="S96" s="11" t="s">
        <v>3333</v>
      </c>
      <c r="T96" s="11" t="s">
        <v>3279</v>
      </c>
      <c r="U96" s="11" t="s">
        <v>3280</v>
      </c>
      <c r="V96" s="11" t="s">
        <v>3281</v>
      </c>
      <c r="W96" s="11" t="s">
        <v>3282</v>
      </c>
      <c r="X96" s="23" t="s">
        <v>67</v>
      </c>
      <c r="Y96" s="13" t="s">
        <v>67</v>
      </c>
    </row>
    <row r="97" spans="1:25" ht="75.95" customHeight="1">
      <c r="A97" s="11" t="s">
        <v>55</v>
      </c>
      <c r="B97" s="11" t="s">
        <v>13</v>
      </c>
      <c r="C97" s="11" t="s">
        <v>3334</v>
      </c>
      <c r="D97" s="11" t="s">
        <v>3335</v>
      </c>
      <c r="E97" s="11" t="s">
        <v>67</v>
      </c>
      <c r="F97" s="11" t="s">
        <v>978</v>
      </c>
      <c r="G97" s="11" t="s">
        <v>979</v>
      </c>
      <c r="H97" s="11" t="s">
        <v>980</v>
      </c>
      <c r="I97" s="11" t="s">
        <v>3336</v>
      </c>
      <c r="J97" s="11" t="s">
        <v>67</v>
      </c>
      <c r="K97" s="11" t="s">
        <v>3301</v>
      </c>
      <c r="L97" s="12" t="s">
        <v>25</v>
      </c>
      <c r="M97" s="11" t="s">
        <v>3282</v>
      </c>
      <c r="N97" s="11" t="s">
        <v>67</v>
      </c>
      <c r="O97" s="11" t="s">
        <v>67</v>
      </c>
      <c r="P97" s="11" t="s">
        <v>67</v>
      </c>
      <c r="Q97" s="11" t="s">
        <v>67</v>
      </c>
      <c r="R97" s="11" t="s">
        <v>70</v>
      </c>
      <c r="S97" s="11" t="s">
        <v>3337</v>
      </c>
      <c r="T97" s="11" t="s">
        <v>3279</v>
      </c>
      <c r="U97" s="11" t="s">
        <v>3280</v>
      </c>
      <c r="V97" s="11" t="s">
        <v>3281</v>
      </c>
      <c r="W97" s="11" t="s">
        <v>3282</v>
      </c>
      <c r="X97" s="23" t="s">
        <v>67</v>
      </c>
      <c r="Y97" s="13" t="s">
        <v>67</v>
      </c>
    </row>
    <row r="98" spans="1:25" ht="75.95" customHeight="1">
      <c r="A98" s="11" t="s">
        <v>55</v>
      </c>
      <c r="B98" s="11" t="s">
        <v>15</v>
      </c>
      <c r="C98" s="11" t="s">
        <v>3338</v>
      </c>
      <c r="D98" s="11" t="s">
        <v>3339</v>
      </c>
      <c r="E98" s="11" t="s">
        <v>67</v>
      </c>
      <c r="F98" s="11" t="s">
        <v>978</v>
      </c>
      <c r="G98" s="11" t="s">
        <v>979</v>
      </c>
      <c r="H98" s="11" t="s">
        <v>980</v>
      </c>
      <c r="I98" s="11" t="s">
        <v>3340</v>
      </c>
      <c r="J98" s="11" t="s">
        <v>67</v>
      </c>
      <c r="K98" s="11" t="s">
        <v>3301</v>
      </c>
      <c r="L98" s="12" t="s">
        <v>25</v>
      </c>
      <c r="M98" s="11" t="s">
        <v>3282</v>
      </c>
      <c r="N98" s="11" t="s">
        <v>67</v>
      </c>
      <c r="O98" s="11" t="s">
        <v>67</v>
      </c>
      <c r="P98" s="11" t="s">
        <v>67</v>
      </c>
      <c r="Q98" s="11" t="s">
        <v>67</v>
      </c>
      <c r="R98" s="11" t="s">
        <v>70</v>
      </c>
      <c r="S98" s="11" t="s">
        <v>3341</v>
      </c>
      <c r="T98" s="11" t="s">
        <v>3279</v>
      </c>
      <c r="U98" s="11" t="s">
        <v>3280</v>
      </c>
      <c r="V98" s="11" t="s">
        <v>3281</v>
      </c>
      <c r="W98" s="11" t="s">
        <v>3282</v>
      </c>
      <c r="X98" s="23" t="s">
        <v>67</v>
      </c>
      <c r="Y98" s="13" t="s">
        <v>67</v>
      </c>
    </row>
    <row r="99" spans="1:25" ht="75.95" customHeight="1">
      <c r="A99" s="11" t="s">
        <v>55</v>
      </c>
      <c r="B99" s="11" t="s">
        <v>17</v>
      </c>
      <c r="C99" s="11" t="s">
        <v>3342</v>
      </c>
      <c r="D99" s="11" t="s">
        <v>3343</v>
      </c>
      <c r="E99" s="11" t="s">
        <v>67</v>
      </c>
      <c r="F99" s="11" t="s">
        <v>978</v>
      </c>
      <c r="G99" s="11" t="s">
        <v>979</v>
      </c>
      <c r="H99" s="11" t="s">
        <v>980</v>
      </c>
      <c r="I99" s="11" t="s">
        <v>3344</v>
      </c>
      <c r="J99" s="11" t="s">
        <v>67</v>
      </c>
      <c r="K99" s="11" t="s">
        <v>3301</v>
      </c>
      <c r="L99" s="12" t="s">
        <v>25</v>
      </c>
      <c r="M99" s="11" t="s">
        <v>3277</v>
      </c>
      <c r="N99" s="11" t="s">
        <v>67</v>
      </c>
      <c r="O99" s="11" t="s">
        <v>67</v>
      </c>
      <c r="P99" s="11" t="s">
        <v>67</v>
      </c>
      <c r="Q99" s="11" t="s">
        <v>67</v>
      </c>
      <c r="R99" s="11" t="s">
        <v>70</v>
      </c>
      <c r="S99" s="11" t="s">
        <v>3341</v>
      </c>
      <c r="T99" s="11" t="s">
        <v>3279</v>
      </c>
      <c r="U99" s="11" t="s">
        <v>3280</v>
      </c>
      <c r="V99" s="11" t="s">
        <v>3281</v>
      </c>
      <c r="W99" s="11" t="s">
        <v>3282</v>
      </c>
      <c r="X99" s="23" t="s">
        <v>67</v>
      </c>
      <c r="Y99" s="13" t="s">
        <v>67</v>
      </c>
    </row>
    <row r="100" spans="1:25" ht="285.95" customHeight="1">
      <c r="A100" s="11" t="s">
        <v>55</v>
      </c>
      <c r="B100" s="11" t="s">
        <v>15</v>
      </c>
      <c r="C100" s="11" t="s">
        <v>3345</v>
      </c>
      <c r="D100" s="11" t="s">
        <v>3346</v>
      </c>
      <c r="E100" s="11" t="s">
        <v>67</v>
      </c>
      <c r="F100" s="11" t="s">
        <v>978</v>
      </c>
      <c r="G100" s="11" t="s">
        <v>979</v>
      </c>
      <c r="H100" s="11" t="s">
        <v>980</v>
      </c>
      <c r="I100" s="11" t="s">
        <v>3347</v>
      </c>
      <c r="J100" s="11" t="s">
        <v>67</v>
      </c>
      <c r="K100" s="11" t="s">
        <v>3301</v>
      </c>
      <c r="L100" s="12" t="s">
        <v>25</v>
      </c>
      <c r="M100" s="11" t="s">
        <v>3282</v>
      </c>
      <c r="N100" s="11" t="s">
        <v>67</v>
      </c>
      <c r="O100" s="11" t="s">
        <v>67</v>
      </c>
      <c r="P100" s="11" t="s">
        <v>67</v>
      </c>
      <c r="Q100" s="11" t="s">
        <v>67</v>
      </c>
      <c r="R100" s="11" t="s">
        <v>212</v>
      </c>
      <c r="S100" s="11" t="s">
        <v>3348</v>
      </c>
      <c r="T100" s="11" t="s">
        <v>1766</v>
      </c>
      <c r="U100" s="28" t="s">
        <v>3349</v>
      </c>
      <c r="V100" s="11" t="s">
        <v>3281</v>
      </c>
      <c r="W100" s="11" t="s">
        <v>3282</v>
      </c>
      <c r="X100" s="23" t="s">
        <v>67</v>
      </c>
      <c r="Y100" s="13" t="s">
        <v>67</v>
      </c>
    </row>
    <row r="101" spans="1:25" ht="75.95" customHeight="1">
      <c r="A101" s="11" t="s">
        <v>55</v>
      </c>
      <c r="B101" s="11" t="s">
        <v>15</v>
      </c>
      <c r="C101" s="11" t="s">
        <v>3350</v>
      </c>
      <c r="D101" s="11" t="s">
        <v>3351</v>
      </c>
      <c r="E101" s="11" t="s">
        <v>67</v>
      </c>
      <c r="F101" s="11" t="s">
        <v>978</v>
      </c>
      <c r="G101" s="11" t="s">
        <v>979</v>
      </c>
      <c r="H101" s="11" t="s">
        <v>1976</v>
      </c>
      <c r="I101" s="11" t="s">
        <v>3352</v>
      </c>
      <c r="J101" s="11" t="s">
        <v>67</v>
      </c>
      <c r="K101" s="11" t="s">
        <v>3301</v>
      </c>
      <c r="L101" s="12" t="s">
        <v>25</v>
      </c>
      <c r="M101" s="11" t="s">
        <v>3282</v>
      </c>
      <c r="N101" s="11" t="s">
        <v>67</v>
      </c>
      <c r="O101" s="11" t="s">
        <v>67</v>
      </c>
      <c r="P101" s="11" t="s">
        <v>67</v>
      </c>
      <c r="Q101" s="11" t="s">
        <v>67</v>
      </c>
      <c r="R101" s="11" t="s">
        <v>1873</v>
      </c>
      <c r="S101" s="11" t="s">
        <v>3353</v>
      </c>
      <c r="T101" s="11" t="s">
        <v>1789</v>
      </c>
      <c r="U101" s="11" t="s">
        <v>3354</v>
      </c>
      <c r="V101" s="11" t="s">
        <v>3281</v>
      </c>
      <c r="W101" s="11" t="s">
        <v>3282</v>
      </c>
      <c r="X101" s="23" t="s">
        <v>3355</v>
      </c>
      <c r="Y101" s="13" t="s">
        <v>3356</v>
      </c>
    </row>
    <row r="102" spans="1:25" ht="75.95" customHeight="1">
      <c r="A102" s="11" t="s">
        <v>55</v>
      </c>
      <c r="B102" s="11" t="s">
        <v>17</v>
      </c>
      <c r="C102" s="11" t="s">
        <v>3357</v>
      </c>
      <c r="D102" s="11" t="s">
        <v>3358</v>
      </c>
      <c r="E102" s="11" t="s">
        <v>67</v>
      </c>
      <c r="F102" s="11" t="s">
        <v>1771</v>
      </c>
      <c r="G102" s="11" t="s">
        <v>979</v>
      </c>
      <c r="H102" s="11" t="s">
        <v>1772</v>
      </c>
      <c r="I102" s="11" t="s">
        <v>3359</v>
      </c>
      <c r="J102" s="11" t="s">
        <v>67</v>
      </c>
      <c r="K102" s="11" t="s">
        <v>3301</v>
      </c>
      <c r="L102" s="12" t="s">
        <v>25</v>
      </c>
      <c r="M102" s="11" t="s">
        <v>3282</v>
      </c>
      <c r="N102" s="11" t="s">
        <v>67</v>
      </c>
      <c r="O102" s="11" t="s">
        <v>67</v>
      </c>
      <c r="P102" s="11" t="s">
        <v>67</v>
      </c>
      <c r="Q102" s="11" t="s">
        <v>67</v>
      </c>
      <c r="R102" s="11" t="s">
        <v>70</v>
      </c>
      <c r="S102" s="11" t="s">
        <v>3360</v>
      </c>
      <c r="T102" s="11" t="s">
        <v>3279</v>
      </c>
      <c r="U102" s="11" t="s">
        <v>3280</v>
      </c>
      <c r="V102" s="11" t="s">
        <v>3281</v>
      </c>
      <c r="W102" s="11" t="s">
        <v>3282</v>
      </c>
      <c r="X102" s="23" t="s">
        <v>67</v>
      </c>
      <c r="Y102" s="13" t="s">
        <v>67</v>
      </c>
    </row>
    <row r="103" spans="1:25" ht="48" customHeight="1">
      <c r="A103" s="11" t="s">
        <v>55</v>
      </c>
      <c r="B103" s="11" t="s">
        <v>15</v>
      </c>
      <c r="C103" s="11" t="s">
        <v>3361</v>
      </c>
      <c r="D103" s="11" t="s">
        <v>3362</v>
      </c>
      <c r="E103" s="11" t="s">
        <v>67</v>
      </c>
      <c r="F103" s="11" t="s">
        <v>1870</v>
      </c>
      <c r="G103" s="11" t="s">
        <v>979</v>
      </c>
      <c r="H103" s="11" t="s">
        <v>1871</v>
      </c>
      <c r="I103" s="11" t="s">
        <v>3363</v>
      </c>
      <c r="J103" s="11" t="s">
        <v>67</v>
      </c>
      <c r="K103" s="11" t="s">
        <v>3301</v>
      </c>
      <c r="L103" s="12" t="s">
        <v>25</v>
      </c>
      <c r="M103" s="11" t="s">
        <v>3282</v>
      </c>
      <c r="N103" s="11" t="s">
        <v>67</v>
      </c>
      <c r="O103" s="11" t="s">
        <v>67</v>
      </c>
      <c r="P103" s="11" t="s">
        <v>67</v>
      </c>
      <c r="Q103" s="11" t="s">
        <v>67</v>
      </c>
      <c r="R103" s="11" t="s">
        <v>212</v>
      </c>
      <c r="S103" s="11" t="s">
        <v>3364</v>
      </c>
      <c r="T103" s="11" t="s">
        <v>1766</v>
      </c>
      <c r="U103" s="11" t="s">
        <v>3365</v>
      </c>
      <c r="V103" s="11" t="s">
        <v>3281</v>
      </c>
      <c r="W103" s="11" t="s">
        <v>3282</v>
      </c>
      <c r="X103" s="23" t="s">
        <v>67</v>
      </c>
      <c r="Y103" s="13" t="s">
        <v>67</v>
      </c>
    </row>
    <row r="104" spans="1:25" ht="90" customHeight="1">
      <c r="A104" s="11" t="s">
        <v>55</v>
      </c>
      <c r="B104" s="11" t="s">
        <v>13</v>
      </c>
      <c r="C104" s="11" t="s">
        <v>3366</v>
      </c>
      <c r="D104" s="11" t="s">
        <v>3367</v>
      </c>
      <c r="E104" s="11" t="s">
        <v>3368</v>
      </c>
      <c r="F104" s="11" t="s">
        <v>1771</v>
      </c>
      <c r="G104" s="11" t="s">
        <v>979</v>
      </c>
      <c r="H104" s="11" t="s">
        <v>1772</v>
      </c>
      <c r="I104" s="11" t="s">
        <v>3369</v>
      </c>
      <c r="J104" s="11" t="s">
        <v>67</v>
      </c>
      <c r="K104" s="11" t="s">
        <v>3370</v>
      </c>
      <c r="L104" s="12" t="s">
        <v>25</v>
      </c>
      <c r="M104" s="11" t="s">
        <v>3371</v>
      </c>
      <c r="N104" s="11" t="s">
        <v>2113</v>
      </c>
      <c r="O104" s="11" t="s">
        <v>3372</v>
      </c>
      <c r="P104" s="11" t="s">
        <v>3373</v>
      </c>
      <c r="Q104" s="11" t="s">
        <v>67</v>
      </c>
      <c r="R104" s="11" t="s">
        <v>212</v>
      </c>
      <c r="S104" s="11" t="s">
        <v>3374</v>
      </c>
      <c r="T104" s="11" t="s">
        <v>1766</v>
      </c>
      <c r="U104" s="11" t="s">
        <v>1779</v>
      </c>
      <c r="V104" s="11" t="s">
        <v>3375</v>
      </c>
      <c r="W104" s="11" t="s">
        <v>3371</v>
      </c>
      <c r="X104" s="23" t="s">
        <v>67</v>
      </c>
      <c r="Y104" s="13" t="s">
        <v>67</v>
      </c>
    </row>
    <row r="105" spans="1:25" ht="117.95" customHeight="1">
      <c r="A105" s="11" t="s">
        <v>55</v>
      </c>
      <c r="B105" s="11" t="s">
        <v>17</v>
      </c>
      <c r="C105" s="11" t="s">
        <v>3376</v>
      </c>
      <c r="D105" s="11" t="s">
        <v>3377</v>
      </c>
      <c r="E105" s="11" t="s">
        <v>3378</v>
      </c>
      <c r="F105" s="11" t="s">
        <v>1771</v>
      </c>
      <c r="G105" s="11" t="s">
        <v>979</v>
      </c>
      <c r="H105" s="11" t="s">
        <v>1772</v>
      </c>
      <c r="I105" s="11" t="s">
        <v>3379</v>
      </c>
      <c r="J105" s="11" t="s">
        <v>67</v>
      </c>
      <c r="K105" s="11" t="s">
        <v>3380</v>
      </c>
      <c r="L105" s="12" t="s">
        <v>25</v>
      </c>
      <c r="M105" s="11" t="s">
        <v>3381</v>
      </c>
      <c r="N105" s="11" t="s">
        <v>68</v>
      </c>
      <c r="O105" s="11" t="s">
        <v>3382</v>
      </c>
      <c r="P105" s="11" t="s">
        <v>3383</v>
      </c>
      <c r="Q105" s="11" t="s">
        <v>67</v>
      </c>
      <c r="R105" s="11" t="s">
        <v>212</v>
      </c>
      <c r="S105" s="11" t="s">
        <v>3374</v>
      </c>
      <c r="T105" s="11" t="s">
        <v>1766</v>
      </c>
      <c r="U105" s="11" t="s">
        <v>1779</v>
      </c>
      <c r="V105" s="11" t="s">
        <v>3375</v>
      </c>
      <c r="W105" s="11" t="s">
        <v>3381</v>
      </c>
      <c r="X105" s="23" t="s">
        <v>67</v>
      </c>
      <c r="Y105" s="13" t="s">
        <v>67</v>
      </c>
    </row>
    <row r="106" spans="1:25" ht="117.95" customHeight="1">
      <c r="A106" s="11" t="s">
        <v>55</v>
      </c>
      <c r="B106" s="11" t="s">
        <v>17</v>
      </c>
      <c r="C106" s="11" t="s">
        <v>3384</v>
      </c>
      <c r="D106" s="11" t="s">
        <v>3385</v>
      </c>
      <c r="E106" s="11" t="s">
        <v>3386</v>
      </c>
      <c r="F106" s="11" t="s">
        <v>1771</v>
      </c>
      <c r="G106" s="11" t="s">
        <v>979</v>
      </c>
      <c r="H106" s="11" t="s">
        <v>1772</v>
      </c>
      <c r="I106" s="11" t="s">
        <v>3387</v>
      </c>
      <c r="J106" s="11" t="s">
        <v>67</v>
      </c>
      <c r="K106" s="11" t="s">
        <v>3388</v>
      </c>
      <c r="L106" s="12" t="s">
        <v>25</v>
      </c>
      <c r="M106" s="11" t="s">
        <v>3389</v>
      </c>
      <c r="N106" s="11" t="s">
        <v>68</v>
      </c>
      <c r="O106" s="11" t="s">
        <v>3390</v>
      </c>
      <c r="P106" s="11" t="s">
        <v>3391</v>
      </c>
      <c r="Q106" s="11" t="s">
        <v>67</v>
      </c>
      <c r="R106" s="11" t="s">
        <v>212</v>
      </c>
      <c r="S106" s="11" t="s">
        <v>3374</v>
      </c>
      <c r="T106" s="11" t="s">
        <v>1766</v>
      </c>
      <c r="U106" s="11" t="s">
        <v>1779</v>
      </c>
      <c r="V106" s="11" t="s">
        <v>3375</v>
      </c>
      <c r="W106" s="11" t="s">
        <v>3389</v>
      </c>
      <c r="X106" s="23" t="s">
        <v>67</v>
      </c>
      <c r="Y106" s="13" t="s">
        <v>67</v>
      </c>
    </row>
    <row r="107" spans="1:25" ht="48" customHeight="1">
      <c r="A107" s="11" t="s">
        <v>55</v>
      </c>
      <c r="B107" s="11" t="s">
        <v>13</v>
      </c>
      <c r="C107" s="11" t="s">
        <v>3392</v>
      </c>
      <c r="D107" s="11" t="s">
        <v>3393</v>
      </c>
      <c r="E107" s="11" t="s">
        <v>3394</v>
      </c>
      <c r="F107" s="11" t="s">
        <v>1870</v>
      </c>
      <c r="G107" s="11" t="s">
        <v>979</v>
      </c>
      <c r="H107" s="11" t="s">
        <v>1871</v>
      </c>
      <c r="I107" s="11" t="s">
        <v>3395</v>
      </c>
      <c r="J107" s="11" t="s">
        <v>67</v>
      </c>
      <c r="K107" s="11" t="s">
        <v>3396</v>
      </c>
      <c r="L107" s="12" t="s">
        <v>25</v>
      </c>
      <c r="M107" s="11" t="s">
        <v>3397</v>
      </c>
      <c r="N107" s="11" t="s">
        <v>68</v>
      </c>
      <c r="O107" s="11" t="s">
        <v>67</v>
      </c>
      <c r="P107" s="11" t="s">
        <v>386</v>
      </c>
      <c r="Q107" s="11" t="s">
        <v>67</v>
      </c>
      <c r="R107" s="11" t="s">
        <v>212</v>
      </c>
      <c r="S107" s="11" t="s">
        <v>13</v>
      </c>
      <c r="T107" s="11" t="s">
        <v>1766</v>
      </c>
      <c r="U107" s="11" t="s">
        <v>1885</v>
      </c>
      <c r="V107" s="11" t="s">
        <v>3375</v>
      </c>
      <c r="W107" s="11" t="s">
        <v>3397</v>
      </c>
      <c r="X107" s="23" t="s">
        <v>67</v>
      </c>
      <c r="Y107" s="13" t="s">
        <v>67</v>
      </c>
    </row>
    <row r="108" spans="1:25" ht="48" customHeight="1">
      <c r="A108" s="11" t="s">
        <v>55</v>
      </c>
      <c r="B108" s="11" t="s">
        <v>17</v>
      </c>
      <c r="C108" s="11" t="s">
        <v>3398</v>
      </c>
      <c r="D108" s="11" t="s">
        <v>3399</v>
      </c>
      <c r="E108" s="11" t="s">
        <v>3400</v>
      </c>
      <c r="F108" s="11" t="s">
        <v>996</v>
      </c>
      <c r="G108" s="11" t="s">
        <v>979</v>
      </c>
      <c r="H108" s="11" t="s">
        <v>996</v>
      </c>
      <c r="I108" s="11" t="s">
        <v>3401</v>
      </c>
      <c r="J108" s="11" t="s">
        <v>67</v>
      </c>
      <c r="K108" s="11" t="s">
        <v>3402</v>
      </c>
      <c r="L108" s="12" t="s">
        <v>25</v>
      </c>
      <c r="M108" s="11" t="s">
        <v>3403</v>
      </c>
      <c r="N108" s="11" t="s">
        <v>991</v>
      </c>
      <c r="O108" s="11" t="s">
        <v>3404</v>
      </c>
      <c r="P108" s="11" t="s">
        <v>67</v>
      </c>
      <c r="Q108" s="11" t="s">
        <v>67</v>
      </c>
      <c r="R108" s="11" t="s">
        <v>212</v>
      </c>
      <c r="S108" s="11" t="s">
        <v>13</v>
      </c>
      <c r="T108" s="11" t="s">
        <v>1766</v>
      </c>
      <c r="U108" s="11" t="s">
        <v>2929</v>
      </c>
      <c r="V108" s="11" t="s">
        <v>3375</v>
      </c>
      <c r="W108" s="11" t="s">
        <v>3403</v>
      </c>
      <c r="X108" s="23" t="s">
        <v>67</v>
      </c>
      <c r="Y108" s="13" t="s">
        <v>67</v>
      </c>
    </row>
    <row r="109" spans="1:25" ht="48" customHeight="1">
      <c r="A109" s="11" t="s">
        <v>55</v>
      </c>
      <c r="B109" s="11" t="s">
        <v>17</v>
      </c>
      <c r="C109" s="11" t="s">
        <v>3405</v>
      </c>
      <c r="D109" s="11" t="s">
        <v>3406</v>
      </c>
      <c r="E109" s="11" t="s">
        <v>3407</v>
      </c>
      <c r="F109" s="11" t="s">
        <v>978</v>
      </c>
      <c r="G109" s="11" t="s">
        <v>979</v>
      </c>
      <c r="H109" s="11" t="s">
        <v>980</v>
      </c>
      <c r="I109" s="11" t="s">
        <v>3347</v>
      </c>
      <c r="J109" s="11" t="s">
        <v>67</v>
      </c>
      <c r="K109" s="11" t="s">
        <v>3408</v>
      </c>
      <c r="L109" s="12" t="s">
        <v>25</v>
      </c>
      <c r="M109" s="11" t="s">
        <v>3409</v>
      </c>
      <c r="N109" s="11" t="s">
        <v>67</v>
      </c>
      <c r="O109" s="11" t="s">
        <v>67</v>
      </c>
      <c r="P109" s="11" t="s">
        <v>67</v>
      </c>
      <c r="Q109" s="11" t="s">
        <v>67</v>
      </c>
      <c r="R109" s="11" t="s">
        <v>212</v>
      </c>
      <c r="S109" s="11" t="s">
        <v>67</v>
      </c>
      <c r="T109" s="11" t="s">
        <v>1766</v>
      </c>
      <c r="U109" s="28" t="s">
        <v>3410</v>
      </c>
      <c r="V109" s="11" t="s">
        <v>2940</v>
      </c>
      <c r="W109" s="11" t="s">
        <v>3409</v>
      </c>
      <c r="X109" s="23" t="s">
        <v>67</v>
      </c>
      <c r="Y109" s="13" t="s">
        <v>67</v>
      </c>
    </row>
    <row r="110" spans="1:25" ht="48" customHeight="1">
      <c r="A110" s="11" t="s">
        <v>55</v>
      </c>
      <c r="B110" s="11" t="s">
        <v>13</v>
      </c>
      <c r="C110" s="11" t="s">
        <v>3411</v>
      </c>
      <c r="D110" s="11" t="s">
        <v>3412</v>
      </c>
      <c r="E110" s="11" t="s">
        <v>3413</v>
      </c>
      <c r="F110" s="11" t="s">
        <v>1870</v>
      </c>
      <c r="G110" s="11" t="s">
        <v>979</v>
      </c>
      <c r="H110" s="11" t="s">
        <v>1871</v>
      </c>
      <c r="I110" s="11" t="s">
        <v>3414</v>
      </c>
      <c r="J110" s="11" t="s">
        <v>67</v>
      </c>
      <c r="K110" s="11" t="s">
        <v>3415</v>
      </c>
      <c r="L110" s="12" t="s">
        <v>25</v>
      </c>
      <c r="M110" s="11" t="s">
        <v>3416</v>
      </c>
      <c r="N110" s="11" t="s">
        <v>68</v>
      </c>
      <c r="O110" s="11" t="s">
        <v>244</v>
      </c>
      <c r="P110" s="11" t="s">
        <v>67</v>
      </c>
      <c r="Q110" s="11" t="s">
        <v>67</v>
      </c>
      <c r="R110" s="11" t="s">
        <v>212</v>
      </c>
      <c r="S110" s="11" t="s">
        <v>13</v>
      </c>
      <c r="T110" s="11" t="s">
        <v>1766</v>
      </c>
      <c r="U110" s="11" t="s">
        <v>3417</v>
      </c>
      <c r="V110" s="11" t="s">
        <v>3375</v>
      </c>
      <c r="W110" s="11" t="s">
        <v>3416</v>
      </c>
      <c r="X110" s="23" t="s">
        <v>67</v>
      </c>
      <c r="Y110" s="13" t="s">
        <v>67</v>
      </c>
    </row>
    <row r="111" spans="1:25" ht="48" customHeight="1">
      <c r="A111" s="11" t="s">
        <v>55</v>
      </c>
      <c r="B111" s="11" t="s">
        <v>17</v>
      </c>
      <c r="C111" s="11" t="s">
        <v>3418</v>
      </c>
      <c r="D111" s="11" t="s">
        <v>3419</v>
      </c>
      <c r="E111" s="11" t="s">
        <v>3420</v>
      </c>
      <c r="F111" s="11" t="s">
        <v>1771</v>
      </c>
      <c r="G111" s="11" t="s">
        <v>979</v>
      </c>
      <c r="H111" s="11" t="s">
        <v>1772</v>
      </c>
      <c r="I111" s="11" t="s">
        <v>3421</v>
      </c>
      <c r="J111" s="11" t="s">
        <v>67</v>
      </c>
      <c r="K111" s="11" t="s">
        <v>3422</v>
      </c>
      <c r="L111" s="12" t="s">
        <v>25</v>
      </c>
      <c r="M111" s="11" t="s">
        <v>3423</v>
      </c>
      <c r="N111" s="11" t="s">
        <v>68</v>
      </c>
      <c r="O111" s="11" t="s">
        <v>108</v>
      </c>
      <c r="P111" s="11" t="s">
        <v>67</v>
      </c>
      <c r="Q111" s="11" t="s">
        <v>67</v>
      </c>
      <c r="R111" s="11" t="s">
        <v>212</v>
      </c>
      <c r="S111" s="11" t="s">
        <v>13</v>
      </c>
      <c r="T111" s="11" t="s">
        <v>1766</v>
      </c>
      <c r="U111" s="11" t="s">
        <v>3424</v>
      </c>
      <c r="V111" s="11" t="s">
        <v>3375</v>
      </c>
      <c r="W111" s="11" t="s">
        <v>3423</v>
      </c>
      <c r="X111" s="23" t="s">
        <v>67</v>
      </c>
      <c r="Y111" s="13" t="s">
        <v>67</v>
      </c>
    </row>
    <row r="112" spans="1:25" ht="48" customHeight="1">
      <c r="A112" s="11" t="s">
        <v>55</v>
      </c>
      <c r="B112" s="11" t="s">
        <v>13</v>
      </c>
      <c r="C112" s="11" t="s">
        <v>3425</v>
      </c>
      <c r="D112" s="11" t="s">
        <v>3426</v>
      </c>
      <c r="E112" s="11" t="s">
        <v>3427</v>
      </c>
      <c r="F112" s="11" t="s">
        <v>1870</v>
      </c>
      <c r="G112" s="11" t="s">
        <v>979</v>
      </c>
      <c r="H112" s="11" t="s">
        <v>1871</v>
      </c>
      <c r="I112" s="11" t="s">
        <v>3363</v>
      </c>
      <c r="J112" s="11" t="s">
        <v>67</v>
      </c>
      <c r="K112" s="11" t="s">
        <v>3428</v>
      </c>
      <c r="L112" s="12" t="s">
        <v>25</v>
      </c>
      <c r="M112" s="11" t="s">
        <v>3429</v>
      </c>
      <c r="N112" s="11" t="s">
        <v>67</v>
      </c>
      <c r="O112" s="11" t="s">
        <v>67</v>
      </c>
      <c r="P112" s="11" t="s">
        <v>67</v>
      </c>
      <c r="Q112" s="11" t="s">
        <v>67</v>
      </c>
      <c r="R112" s="11" t="s">
        <v>212</v>
      </c>
      <c r="S112" s="11" t="s">
        <v>67</v>
      </c>
      <c r="T112" s="11" t="s">
        <v>1766</v>
      </c>
      <c r="U112" s="11" t="s">
        <v>3365</v>
      </c>
      <c r="V112" s="11" t="s">
        <v>2940</v>
      </c>
      <c r="W112" s="11" t="s">
        <v>3429</v>
      </c>
      <c r="X112" s="23" t="s">
        <v>67</v>
      </c>
      <c r="Y112" s="13" t="s">
        <v>67</v>
      </c>
    </row>
    <row r="113" spans="1:25" ht="48" customHeight="1">
      <c r="A113" s="11" t="s">
        <v>55</v>
      </c>
      <c r="B113" s="11" t="s">
        <v>17</v>
      </c>
      <c r="C113" s="11" t="s">
        <v>3430</v>
      </c>
      <c r="D113" s="11" t="s">
        <v>3431</v>
      </c>
      <c r="E113" s="11" t="s">
        <v>3427</v>
      </c>
      <c r="F113" s="11" t="s">
        <v>1870</v>
      </c>
      <c r="G113" s="11" t="s">
        <v>979</v>
      </c>
      <c r="H113" s="11" t="s">
        <v>1871</v>
      </c>
      <c r="I113" s="11" t="s">
        <v>3363</v>
      </c>
      <c r="J113" s="11" t="s">
        <v>67</v>
      </c>
      <c r="K113" s="11" t="s">
        <v>3428</v>
      </c>
      <c r="L113" s="12" t="s">
        <v>25</v>
      </c>
      <c r="M113" s="11" t="s">
        <v>3432</v>
      </c>
      <c r="N113" s="11" t="s">
        <v>67</v>
      </c>
      <c r="O113" s="11" t="s">
        <v>67</v>
      </c>
      <c r="P113" s="11" t="s">
        <v>67</v>
      </c>
      <c r="Q113" s="11" t="s">
        <v>67</v>
      </c>
      <c r="R113" s="11" t="s">
        <v>212</v>
      </c>
      <c r="S113" s="11" t="s">
        <v>67</v>
      </c>
      <c r="T113" s="11" t="s">
        <v>1766</v>
      </c>
      <c r="U113" s="11" t="s">
        <v>3365</v>
      </c>
      <c r="V113" s="11" t="s">
        <v>2940</v>
      </c>
      <c r="W113" s="11" t="s">
        <v>3432</v>
      </c>
      <c r="X113" s="23" t="s">
        <v>67</v>
      </c>
      <c r="Y113" s="13" t="s">
        <v>67</v>
      </c>
    </row>
    <row r="114" spans="1:25" ht="48" customHeight="1">
      <c r="A114" s="11" t="s">
        <v>55</v>
      </c>
      <c r="B114" s="11" t="s">
        <v>17</v>
      </c>
      <c r="C114" s="11" t="s">
        <v>3433</v>
      </c>
      <c r="D114" s="11" t="s">
        <v>3434</v>
      </c>
      <c r="E114" s="11" t="s">
        <v>3435</v>
      </c>
      <c r="F114" s="11" t="s">
        <v>59</v>
      </c>
      <c r="G114" s="11" t="s">
        <v>979</v>
      </c>
      <c r="H114" s="11" t="s">
        <v>61</v>
      </c>
      <c r="I114" s="11" t="s">
        <v>3436</v>
      </c>
      <c r="J114" s="11" t="s">
        <v>67</v>
      </c>
      <c r="K114" s="11" t="s">
        <v>3437</v>
      </c>
      <c r="L114" s="12" t="s">
        <v>25</v>
      </c>
      <c r="M114" s="11" t="s">
        <v>3438</v>
      </c>
      <c r="N114" s="11" t="s">
        <v>67</v>
      </c>
      <c r="O114" s="11" t="s">
        <v>67</v>
      </c>
      <c r="P114" s="11" t="s">
        <v>67</v>
      </c>
      <c r="Q114" s="11" t="s">
        <v>67</v>
      </c>
      <c r="R114" s="11" t="s">
        <v>212</v>
      </c>
      <c r="S114" s="11" t="s">
        <v>3439</v>
      </c>
      <c r="T114" s="11" t="s">
        <v>1766</v>
      </c>
      <c r="U114" s="11" t="s">
        <v>3287</v>
      </c>
      <c r="V114" s="11" t="s">
        <v>2940</v>
      </c>
      <c r="W114" s="11" t="s">
        <v>3438</v>
      </c>
      <c r="X114" s="23" t="s">
        <v>67</v>
      </c>
      <c r="Y114" s="13" t="s">
        <v>67</v>
      </c>
    </row>
    <row r="115" spans="1:25" ht="48" customHeight="1">
      <c r="A115" s="11" t="s">
        <v>55</v>
      </c>
      <c r="B115" s="11" t="s">
        <v>13</v>
      </c>
      <c r="C115" s="11" t="s">
        <v>3288</v>
      </c>
      <c r="D115" s="11" t="s">
        <v>3440</v>
      </c>
      <c r="E115" s="11" t="s">
        <v>3435</v>
      </c>
      <c r="F115" s="11" t="s">
        <v>59</v>
      </c>
      <c r="G115" s="11" t="s">
        <v>979</v>
      </c>
      <c r="H115" s="11" t="s">
        <v>61</v>
      </c>
      <c r="I115" s="11" t="s">
        <v>3290</v>
      </c>
      <c r="J115" s="11" t="s">
        <v>67</v>
      </c>
      <c r="K115" s="11" t="s">
        <v>3437</v>
      </c>
      <c r="L115" s="12" t="s">
        <v>25</v>
      </c>
      <c r="M115" s="11" t="s">
        <v>3441</v>
      </c>
      <c r="N115" s="11" t="s">
        <v>67</v>
      </c>
      <c r="O115" s="11" t="s">
        <v>67</v>
      </c>
      <c r="P115" s="11" t="s">
        <v>67</v>
      </c>
      <c r="Q115" s="11" t="s">
        <v>67</v>
      </c>
      <c r="R115" s="11" t="s">
        <v>212</v>
      </c>
      <c r="S115" s="11" t="s">
        <v>3439</v>
      </c>
      <c r="T115" s="11" t="s">
        <v>1766</v>
      </c>
      <c r="U115" s="11" t="s">
        <v>3287</v>
      </c>
      <c r="V115" s="11" t="s">
        <v>2940</v>
      </c>
      <c r="W115" s="11" t="s">
        <v>3441</v>
      </c>
      <c r="X115" s="23" t="s">
        <v>67</v>
      </c>
      <c r="Y115" s="13" t="s">
        <v>67</v>
      </c>
    </row>
    <row r="116" spans="1:25" ht="48" customHeight="1">
      <c r="A116" s="11" t="s">
        <v>55</v>
      </c>
      <c r="B116" s="11" t="s">
        <v>17</v>
      </c>
      <c r="C116" s="11" t="s">
        <v>3288</v>
      </c>
      <c r="D116" s="11" t="s">
        <v>3442</v>
      </c>
      <c r="E116" s="11" t="s">
        <v>3435</v>
      </c>
      <c r="F116" s="11" t="s">
        <v>59</v>
      </c>
      <c r="G116" s="11" t="s">
        <v>979</v>
      </c>
      <c r="H116" s="11" t="s">
        <v>61</v>
      </c>
      <c r="I116" s="11" t="s">
        <v>3290</v>
      </c>
      <c r="J116" s="11" t="s">
        <v>67</v>
      </c>
      <c r="K116" s="11" t="s">
        <v>3437</v>
      </c>
      <c r="L116" s="12" t="s">
        <v>25</v>
      </c>
      <c r="M116" s="11" t="s">
        <v>3438</v>
      </c>
      <c r="N116" s="11" t="s">
        <v>67</v>
      </c>
      <c r="O116" s="11" t="s">
        <v>67</v>
      </c>
      <c r="P116" s="11" t="s">
        <v>67</v>
      </c>
      <c r="Q116" s="11" t="s">
        <v>67</v>
      </c>
      <c r="R116" s="11" t="s">
        <v>212</v>
      </c>
      <c r="S116" s="11" t="s">
        <v>3439</v>
      </c>
      <c r="T116" s="11" t="s">
        <v>1766</v>
      </c>
      <c r="U116" s="11" t="s">
        <v>3287</v>
      </c>
      <c r="V116" s="11" t="s">
        <v>2940</v>
      </c>
      <c r="W116" s="11" t="s">
        <v>3438</v>
      </c>
      <c r="X116" s="23" t="s">
        <v>67</v>
      </c>
      <c r="Y116" s="13" t="s">
        <v>67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45652c-0488-4d93-85f8-6539f1c4bf9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E62A8A34B8614BBAFE91C998988572" ma:contentTypeVersion="10" ma:contentTypeDescription="Create a new document." ma:contentTypeScope="" ma:versionID="993acd0ebe3d4b41eb805c6c9afb9eef">
  <xsd:schema xmlns:xsd="http://www.w3.org/2001/XMLSchema" xmlns:xs="http://www.w3.org/2001/XMLSchema" xmlns:p="http://schemas.microsoft.com/office/2006/metadata/properties" xmlns:ns2="b045652c-0488-4d93-85f8-6539f1c4bf92" targetNamespace="http://schemas.microsoft.com/office/2006/metadata/properties" ma:root="true" ma:fieldsID="0aaa2b9e46cddab28a3fa9210c8df6f8" ns2:_="">
    <xsd:import namespace="b045652c-0488-4d93-85f8-6539f1c4bf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45652c-0488-4d93-85f8-6539f1c4bf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AECCB7-3CAC-4316-BF6D-E3D6AA1CC50A}"/>
</file>

<file path=customXml/itemProps2.xml><?xml version="1.0" encoding="utf-8"?>
<ds:datastoreItem xmlns:ds="http://schemas.openxmlformats.org/officeDocument/2006/customXml" ds:itemID="{7A5F59B6-7897-4C01-9AAC-C49229741DBB}"/>
</file>

<file path=customXml/itemProps3.xml><?xml version="1.0" encoding="utf-8"?>
<ds:datastoreItem xmlns:ds="http://schemas.openxmlformats.org/officeDocument/2006/customXml" ds:itemID="{78DE77EE-20FA-40B5-A872-075A71CDA5B2}"/>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2026-07-29T11:36:06Z</dcterms:created>
  <dcterms:modified xsi:type="dcterms:W3CDTF">2026-08-06T21:11:00Z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0x0101008EE62A8A34B8614BBAFE91C998988572</vt:lpwstr>
  </property>
  <property fmtid="{D5CDD505-2E9C-101B-9397-08002B2CF9AE}" pid="3" name="MediaServiceImageTags">
    <vt:lpwstr/>
  </property>
</Properties>
</file>